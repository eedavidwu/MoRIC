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08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<sst xmlns="http://schemas.openxmlformats.org/spreadsheetml/2006/main" count="309" uniqueCount="53">
  <si>
    <t>Complexity</t>
  </si>
  <si>
    <t>lambda</t>
  </si>
  <si>
    <t>1e-2</t>
  </si>
  <si>
    <t>5e-3</t>
  </si>
  <si>
    <t>1e-3</t>
  </si>
  <si>
    <t>2e-4</t>
  </si>
  <si>
    <t>1e-4</t>
  </si>
  <si>
    <t>CLIC2020 dataset</t>
  </si>
  <si>
    <t>rate</t>
  </si>
  <si>
    <t>alberto-montalesi-176097</t>
  </si>
  <si>
    <t>alejandro-escamilla-6</t>
  </si>
  <si>
    <t>ales-krivec-15949</t>
  </si>
  <si>
    <t>alexander-shustov-73</t>
  </si>
  <si>
    <t>allef-vinicius-109434</t>
  </si>
  <si>
    <t>amy-zhang-15940</t>
  </si>
  <si>
    <t>andrew-ruiz-376</t>
  </si>
  <si>
    <t>benjamin-sloth-lindgreen-705</t>
  </si>
  <si>
    <t>casey-fyfe-999</t>
  </si>
  <si>
    <t>clem-onojeghuo-33741</t>
  </si>
  <si>
    <t>daniel-robert-405</t>
  </si>
  <si>
    <t>davide-ragusa-716</t>
  </si>
  <si>
    <t>dogancan-ozturan-395</t>
  </si>
  <si>
    <t>felix-russell-saw-140699</t>
  </si>
  <si>
    <t>gian-reto-tarnutzer-45212</t>
  </si>
  <si>
    <t>jared-erondu-21325</t>
  </si>
  <si>
    <t>jason-briscoe-149782</t>
  </si>
  <si>
    <t>jeremy-cai-1174</t>
  </si>
  <si>
    <t>juskteez-vu-1041</t>
  </si>
  <si>
    <t>kazuend-28556</t>
  </si>
  <si>
    <t>lobostudio-hamburg-75377</t>
  </si>
  <si>
    <t>martin-wessely-211</t>
  </si>
  <si>
    <t>martyn-seddon-220</t>
  </si>
  <si>
    <t>michael-durana-82941</t>
  </si>
  <si>
    <t>mullermarc-184</t>
  </si>
  <si>
    <t>nomao-saeki-33553</t>
  </si>
  <si>
    <t>paul-itkin-46101</t>
  </si>
  <si>
    <t>philippe-wuyts-45997</t>
  </si>
  <si>
    <t>philipp-reiner-207</t>
  </si>
  <si>
    <t>roberto-nickson-48063</t>
  </si>
  <si>
    <t>schicka-307</t>
  </si>
  <si>
    <t>sergey-zolkin-1045</t>
  </si>
  <si>
    <t>sergey-zolkin-21232</t>
  </si>
  <si>
    <t>stefan-kunze-26931</t>
  </si>
  <si>
    <t>thong-vo-428</t>
  </si>
  <si>
    <t>todd-quackenbush-222</t>
  </si>
  <si>
    <t>todd-quackenbush-27493</t>
  </si>
  <si>
    <t>veeterzy-82537</t>
  </si>
  <si>
    <t>vita-vilcina-3055</t>
  </si>
  <si>
    <t>wojciech-szaturski-3611</t>
  </si>
  <si>
    <t>zugr-108</t>
  </si>
  <si>
    <t>Avg bpp</t>
  </si>
  <si>
    <t>psnr</t>
  </si>
  <si>
    <t>Avg psnr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</si>
</sst>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rgb="FFFF0000"/>
      <name val="Arial"/>
      <charset val="134"/>
    </font>
    <font>
      <b/>
      <sz val="11"/>
      <color rgb="FFFF0000"/>
      <name val="宋体"/>
      <charset val="134"/>
      <scheme val="minor"/>
    </font>
    <font>
      <b/>
      <sz val="12"/>
      <color rgb="FF000000"/>
      <name val="Arial"/>
      <charset val="134"/>
    </font>
    <font>
      <b/>
      <sz val="11"/>
      <name val="Arial"/>
      <charset val="134"/>
    </font>
    <font>
      <b/>
      <sz val="10.5"/>
      <color rgb="FFFF0000"/>
      <name val="Consolas"/>
      <charset val="134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NumberForma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NumberFormat="1" applyFill="1" applyAlignment="1">
      <alignment vertical="center"/>
    </xf>
    <xf numFmtId="0" fontId="4" fillId="0" borderId="0" xfId="0" applyFont="1" applyFill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4"/>
  <sheetViews>
    <sheetView tabSelected="1" topLeftCell="A223" workbookViewId="0">
      <selection activeCell="G241" sqref="G241"/>
    </sheetView>
  </sheetViews>
  <sheetFormatPr defaultColWidth="9" defaultRowHeight="13.5" outlineLevelCol="6"/>
  <cols>
    <col min="2" max="6" width="14.125"/>
  </cols>
  <sheetData>
    <row r="1" ht="15" spans="1:7">
      <c r="A1" s="1" t="s">
        <v>0</v>
      </c>
      <c r="B1" s="2">
        <v>2891.34</v>
      </c>
      <c r="C1" s="3"/>
      <c r="D1" s="3"/>
      <c r="E1" s="3"/>
      <c r="F1" s="3"/>
      <c r="G1" s="3"/>
    </row>
    <row r="2" ht="15.75" spans="1:7">
      <c r="A2" s="4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5"/>
    </row>
    <row r="3" ht="14.25" spans="1:7">
      <c r="A3" s="2" t="s">
        <v>7</v>
      </c>
      <c r="B3" s="6" t="s">
        <v>8</v>
      </c>
      <c r="C3" s="6" t="s">
        <v>8</v>
      </c>
      <c r="D3" s="6" t="s">
        <v>8</v>
      </c>
      <c r="E3" s="6" t="s">
        <v>8</v>
      </c>
      <c r="F3" s="6" t="s">
        <v>8</v>
      </c>
      <c r="G3" s="6"/>
    </row>
    <row r="4" spans="1:7">
      <c r="A4" s="7" t="s">
        <v>9</v>
      </c>
      <c r="B4" s="8">
        <v>0.0324619205365188</v>
      </c>
      <c r="C4" s="8">
        <v>0.0467873118048764</v>
      </c>
      <c r="D4" s="8">
        <v>0.109021825033635</v>
      </c>
      <c r="E4" s="8">
        <v>0.308415960769564</v>
      </c>
      <c r="F4" s="8">
        <v>0.687331451817811</v>
      </c>
    </row>
    <row r="5" spans="1:7">
      <c r="A5" s="7" t="s">
        <v>10</v>
      </c>
      <c r="B5" s="8">
        <v>0.0500721868306337</v>
      </c>
      <c r="C5" s="8">
        <v>0.0748942128561375</v>
      </c>
      <c r="D5" s="8">
        <v>0.193195133674138</v>
      </c>
      <c r="E5" s="8">
        <v>0.477098730131232</v>
      </c>
      <c r="F5" s="8">
        <v>0.694491257629537</v>
      </c>
    </row>
    <row r="6" spans="1:7">
      <c r="A6" s="7" t="s">
        <v>11</v>
      </c>
      <c r="B6" s="8">
        <v>0.0575954991044721</v>
      </c>
      <c r="C6" s="8">
        <v>0.0778574168334028</v>
      </c>
      <c r="D6" s="8">
        <v>0.162584888062091</v>
      </c>
      <c r="E6" s="8">
        <v>0.339071890583845</v>
      </c>
      <c r="F6" s="8">
        <v>0.449142122885795</v>
      </c>
    </row>
    <row r="7" spans="1:7">
      <c r="A7" s="7" t="s">
        <v>12</v>
      </c>
      <c r="B7" s="8">
        <v>0.223221526319718</v>
      </c>
      <c r="C7" s="8">
        <v>0.367423934700524</v>
      </c>
      <c r="D7" s="8">
        <v>0.91525235942248</v>
      </c>
      <c r="E7" s="8">
        <v>1.86429060513768</v>
      </c>
      <c r="F7" s="8">
        <v>2.35621740187201</v>
      </c>
    </row>
    <row r="8" spans="1:7">
      <c r="A8" s="7" t="s">
        <v>13</v>
      </c>
      <c r="B8" s="8">
        <v>0.0283082680781832</v>
      </c>
      <c r="C8" s="8">
        <v>0.0416052352176508</v>
      </c>
      <c r="D8" s="8">
        <v>0.110244729696353</v>
      </c>
      <c r="E8" s="8">
        <v>0.547917049052705</v>
      </c>
      <c r="F8" s="8">
        <v>1.09594496307014</v>
      </c>
    </row>
    <row r="9" spans="1:7">
      <c r="A9" s="7" t="s">
        <v>14</v>
      </c>
      <c r="B9" s="8">
        <v>0.0844897087595955</v>
      </c>
      <c r="C9" s="8">
        <v>0.143406341776956</v>
      </c>
      <c r="D9" s="8">
        <v>0.436541995958198</v>
      </c>
      <c r="E9" s="8">
        <v>1.04777177888225</v>
      </c>
      <c r="F9" s="8">
        <v>1.36580825968902</v>
      </c>
    </row>
    <row r="10" spans="1:7">
      <c r="A10" s="7" t="s">
        <v>15</v>
      </c>
      <c r="B10" s="8">
        <v>0.102765162677957</v>
      </c>
      <c r="C10" s="8">
        <v>0.14792612587799</v>
      </c>
      <c r="D10" s="8">
        <v>0.338205021077289</v>
      </c>
      <c r="E10" s="8">
        <v>0.687687445634498</v>
      </c>
      <c r="F10" s="8">
        <v>0.914951484852924</v>
      </c>
    </row>
    <row r="11" spans="1:7">
      <c r="A11" s="7" t="s">
        <v>16</v>
      </c>
      <c r="B11" s="8">
        <v>0.0778177267537476</v>
      </c>
      <c r="C11" s="8">
        <v>0.142026157457477</v>
      </c>
      <c r="D11" s="8">
        <v>0.450430304616785</v>
      </c>
      <c r="E11" s="8">
        <v>1.0360749609434</v>
      </c>
      <c r="F11" s="8">
        <v>1.3648917464205</v>
      </c>
    </row>
    <row r="12" spans="1:7">
      <c r="A12" s="7" t="s">
        <v>17</v>
      </c>
      <c r="B12" s="8">
        <v>0.019499039852663</v>
      </c>
      <c r="C12" s="8">
        <v>0.032025613465949</v>
      </c>
      <c r="D12" s="8">
        <v>0.0971290460952064</v>
      </c>
      <c r="E12" s="8">
        <v>0.778674627763821</v>
      </c>
      <c r="F12" s="8">
        <v>1.24740068765138</v>
      </c>
    </row>
    <row r="13" spans="1:7">
      <c r="A13" s="7" t="s">
        <v>18</v>
      </c>
      <c r="B13" s="8">
        <v>0.0997869473656864</v>
      </c>
      <c r="C13" s="8">
        <v>0.147090408835396</v>
      </c>
      <c r="D13" s="8">
        <v>0.351862804382875</v>
      </c>
      <c r="E13" s="8">
        <v>0.763139156043365</v>
      </c>
      <c r="F13" s="8">
        <v>0.980909099221065</v>
      </c>
    </row>
    <row r="14" spans="1:7">
      <c r="A14" s="7" t="s">
        <v>19</v>
      </c>
      <c r="B14" s="8">
        <v>0.118065650874475</v>
      </c>
      <c r="C14" s="8">
        <v>0.194659049922326</v>
      </c>
      <c r="D14" s="8">
        <v>0.541233904028037</v>
      </c>
      <c r="E14" s="8">
        <v>1.19521859970102</v>
      </c>
      <c r="F14" s="8">
        <v>1.6761710134537</v>
      </c>
    </row>
    <row r="15" spans="1:7">
      <c r="A15" s="7" t="s">
        <v>20</v>
      </c>
      <c r="B15" s="8">
        <v>0.0466206776801119</v>
      </c>
      <c r="C15" s="8">
        <v>0.0689309229965875</v>
      </c>
      <c r="D15" s="8">
        <v>0.192480255838818</v>
      </c>
      <c r="E15" s="8">
        <v>0.46363754941929</v>
      </c>
      <c r="F15" s="8">
        <v>0.654660375777966</v>
      </c>
    </row>
    <row r="16" spans="1:7">
      <c r="A16" s="7" t="s">
        <v>21</v>
      </c>
      <c r="B16" s="8">
        <v>0.0942050024747178</v>
      </c>
      <c r="C16" s="8">
        <v>0.136013766924969</v>
      </c>
      <c r="D16" s="8">
        <v>0.292315241123668</v>
      </c>
      <c r="E16" s="8">
        <v>0.566663690085642</v>
      </c>
      <c r="F16" s="8">
        <v>0.748045146639578</v>
      </c>
    </row>
    <row r="17" spans="1:6">
      <c r="A17" s="7" t="s">
        <v>22</v>
      </c>
      <c r="B17" s="8">
        <v>0.0471143609262688</v>
      </c>
      <c r="C17" s="8">
        <v>0.0693220080226345</v>
      </c>
      <c r="D17" s="8">
        <v>0.150706932263044</v>
      </c>
      <c r="E17" s="8">
        <v>0.338657070265678</v>
      </c>
      <c r="F17" s="8">
        <v>0.603207521454958</v>
      </c>
    </row>
    <row r="18" spans="1:6">
      <c r="A18" s="7" t="s">
        <v>23</v>
      </c>
      <c r="B18" s="8">
        <v>0.108172780362358</v>
      </c>
      <c r="C18" s="8">
        <v>0.177329704625001</v>
      </c>
      <c r="D18" s="8">
        <v>0.493292354506841</v>
      </c>
      <c r="E18" s="8">
        <v>1.09507596445589</v>
      </c>
      <c r="F18" s="8">
        <v>1.50170855735748</v>
      </c>
    </row>
    <row r="19" spans="1:6">
      <c r="A19" s="7" t="s">
        <v>24</v>
      </c>
      <c r="B19" s="8">
        <v>0.0398500200200675</v>
      </c>
      <c r="C19" s="8">
        <v>0.0622970193464158</v>
      </c>
      <c r="D19" s="8">
        <v>0.159981624859183</v>
      </c>
      <c r="E19" s="8">
        <v>0.40671399811542</v>
      </c>
      <c r="F19" s="8">
        <v>0.598714200484365</v>
      </c>
    </row>
    <row r="20" spans="1:6">
      <c r="A20" s="7" t="s">
        <v>25</v>
      </c>
      <c r="B20" s="8">
        <v>0.0376205717418138</v>
      </c>
      <c r="C20" s="8">
        <v>0.0521231538820807</v>
      </c>
      <c r="D20" s="8">
        <v>0.115606285931522</v>
      </c>
      <c r="E20" s="8">
        <v>0.259827419484013</v>
      </c>
      <c r="F20" s="8">
        <v>0.283139130400473</v>
      </c>
    </row>
    <row r="21" spans="1:6">
      <c r="A21" s="7" t="s">
        <v>26</v>
      </c>
      <c r="B21" s="8">
        <v>0.0978784464134385</v>
      </c>
      <c r="C21" s="8">
        <v>0.127171276679496</v>
      </c>
      <c r="D21" s="8">
        <v>0.258694578504424</v>
      </c>
      <c r="E21" s="8">
        <v>0.527731271071593</v>
      </c>
      <c r="F21" s="8">
        <v>0.696032243391733</v>
      </c>
    </row>
    <row r="22" spans="1:6">
      <c r="A22" s="7" t="s">
        <v>27</v>
      </c>
      <c r="B22" s="8">
        <v>0.111846557991923</v>
      </c>
      <c r="C22" s="8">
        <v>0.195293082097889</v>
      </c>
      <c r="D22" s="8">
        <v>0.645772862421692</v>
      </c>
      <c r="E22" s="8">
        <v>1.42968501447361</v>
      </c>
      <c r="F22" s="8">
        <v>1.86688460985791</v>
      </c>
    </row>
    <row r="23" spans="1:6">
      <c r="A23" s="7" t="s">
        <v>28</v>
      </c>
      <c r="B23" s="8">
        <v>0.0189299660424391</v>
      </c>
      <c r="C23" s="8">
        <v>0.0290225122744838</v>
      </c>
      <c r="D23" s="8">
        <v>0.0868391820850471</v>
      </c>
      <c r="E23" s="8">
        <v>0.218965461260328</v>
      </c>
      <c r="F23" s="8">
        <v>0.301937217141191</v>
      </c>
    </row>
    <row r="24" spans="1:6">
      <c r="A24" s="7" t="s">
        <v>29</v>
      </c>
      <c r="B24" s="8">
        <v>0.0243992506352427</v>
      </c>
      <c r="C24" s="8">
        <v>0.0396856245410802</v>
      </c>
      <c r="D24" s="8">
        <v>0.140441426896786</v>
      </c>
      <c r="E24" s="8">
        <v>0.680169853271282</v>
      </c>
      <c r="F24" s="8">
        <v>1.07788983814541</v>
      </c>
    </row>
    <row r="25" spans="1:6">
      <c r="A25" s="7" t="s">
        <v>30</v>
      </c>
      <c r="B25" s="8">
        <v>0.174838337699572</v>
      </c>
      <c r="C25" s="8">
        <v>0.306290786365668</v>
      </c>
      <c r="D25" s="8">
        <v>1.03548121603826</v>
      </c>
      <c r="E25" s="8">
        <v>2.11877765099207</v>
      </c>
      <c r="F25" s="8">
        <v>2.63526384497682</v>
      </c>
    </row>
    <row r="26" spans="1:6">
      <c r="A26" s="7" t="s">
        <v>31</v>
      </c>
      <c r="B26" s="8">
        <v>0.05397982943305</v>
      </c>
      <c r="C26" s="8">
        <v>0.0894863838466368</v>
      </c>
      <c r="D26" s="8">
        <v>0.30425372627997</v>
      </c>
      <c r="E26" s="8">
        <v>0.727965570999916</v>
      </c>
      <c r="F26" s="8">
        <v>1.00030016341679</v>
      </c>
    </row>
    <row r="27" spans="1:6">
      <c r="A27" s="7" t="s">
        <v>32</v>
      </c>
      <c r="B27" s="8">
        <v>0.0753042930853126</v>
      </c>
      <c r="C27" s="8">
        <v>0.130386711575513</v>
      </c>
      <c r="D27" s="8">
        <v>0.324204449553465</v>
      </c>
      <c r="E27" s="8">
        <v>0.686900549579834</v>
      </c>
      <c r="F27" s="8">
        <v>0.924090615485286</v>
      </c>
    </row>
    <row r="28" spans="1:6">
      <c r="A28" s="7" t="s">
        <v>33</v>
      </c>
      <c r="B28" s="8">
        <v>0.110182962254336</v>
      </c>
      <c r="C28" s="8">
        <v>0.156195288398018</v>
      </c>
      <c r="D28" s="8">
        <v>0.368743641175976</v>
      </c>
      <c r="E28" s="8">
        <v>0.790110716470232</v>
      </c>
      <c r="F28" s="8">
        <v>1.11293262044405</v>
      </c>
    </row>
    <row r="29" spans="1:6">
      <c r="A29" s="7" t="s">
        <v>34</v>
      </c>
      <c r="B29" s="8">
        <v>0.0338698394782704</v>
      </c>
      <c r="C29" s="8">
        <v>0.0516923800762606</v>
      </c>
      <c r="D29" s="8">
        <v>0.135755247874171</v>
      </c>
      <c r="E29" s="8">
        <v>0.330709398230524</v>
      </c>
      <c r="F29" s="8">
        <v>0.494132487541051</v>
      </c>
    </row>
    <row r="30" spans="1:6">
      <c r="A30" s="7" t="s">
        <v>35</v>
      </c>
      <c r="B30" s="8">
        <v>0.291428997064992</v>
      </c>
      <c r="C30" s="8">
        <v>0.460113021428748</v>
      </c>
      <c r="D30" s="8">
        <v>0.906227818573876</v>
      </c>
      <c r="E30" s="8">
        <v>1.49410615756647</v>
      </c>
      <c r="F30" s="8">
        <v>1.73907493322627</v>
      </c>
    </row>
    <row r="31" spans="1:6">
      <c r="A31" s="7" t="s">
        <v>36</v>
      </c>
      <c r="B31" s="8">
        <v>0.101285946836963</v>
      </c>
      <c r="C31" s="8">
        <v>0.176070532111719</v>
      </c>
      <c r="D31" s="8">
        <v>0.534024212790921</v>
      </c>
      <c r="E31" s="8">
        <v>1.16060558455277</v>
      </c>
      <c r="F31" s="8">
        <v>1.52035937672694</v>
      </c>
    </row>
    <row r="32" spans="1:6">
      <c r="A32" s="7" t="s">
        <v>37</v>
      </c>
      <c r="B32" s="8">
        <v>0.142462828644171</v>
      </c>
      <c r="C32" s="8">
        <v>0.264069885463074</v>
      </c>
      <c r="D32" s="8">
        <v>0.714102264009968</v>
      </c>
      <c r="E32" s="8">
        <v>1.47817213691826</v>
      </c>
      <c r="F32" s="8">
        <v>1.89011989764924</v>
      </c>
    </row>
    <row r="33" spans="1:7">
      <c r="A33" s="7" t="s">
        <v>38</v>
      </c>
      <c r="B33" s="8">
        <v>0.0286530057026325</v>
      </c>
      <c r="C33" s="8">
        <v>0.0423788452578961</v>
      </c>
      <c r="D33" s="8">
        <v>0.116465745592701</v>
      </c>
      <c r="E33" s="8">
        <v>0.321139748307156</v>
      </c>
      <c r="F33" s="8">
        <v>0.462681518966543</v>
      </c>
    </row>
    <row r="34" spans="1:7">
      <c r="A34" s="7" t="s">
        <v>39</v>
      </c>
      <c r="B34" s="8">
        <v>0.0781712681055069</v>
      </c>
      <c r="C34" s="8">
        <v>0.105710744857788</v>
      </c>
      <c r="D34" s="8">
        <v>0.220284469425678</v>
      </c>
      <c r="E34" s="8">
        <v>0.47573634237051</v>
      </c>
      <c r="F34" s="8">
        <v>0.657154187560081</v>
      </c>
    </row>
    <row r="35" spans="1:7">
      <c r="A35" s="7" t="s">
        <v>40</v>
      </c>
      <c r="B35" s="8">
        <v>0.0661112660364735</v>
      </c>
      <c r="C35" s="8">
        <v>0.101623549946539</v>
      </c>
      <c r="D35" s="8">
        <v>0.262677780707322</v>
      </c>
      <c r="E35" s="8">
        <v>0.546406240557276</v>
      </c>
      <c r="F35" s="8">
        <v>0.721261271164708</v>
      </c>
    </row>
    <row r="36" spans="1:7">
      <c r="A36" s="7" t="s">
        <v>41</v>
      </c>
      <c r="B36" s="8">
        <v>0.0278914788478383</v>
      </c>
      <c r="C36" s="8">
        <v>0.0407921391279765</v>
      </c>
      <c r="D36" s="8">
        <v>0.0940133178347119</v>
      </c>
      <c r="E36" s="8">
        <v>0.208221909470982</v>
      </c>
      <c r="F36" s="8">
        <v>0.291241700641936</v>
      </c>
    </row>
    <row r="37" spans="1:7">
      <c r="A37" s="7" t="s">
        <v>42</v>
      </c>
      <c r="B37" s="8">
        <v>0.0789904086547409</v>
      </c>
      <c r="C37" s="8">
        <v>0.138003355327478</v>
      </c>
      <c r="D37" s="8">
        <v>0.455726744576773</v>
      </c>
      <c r="E37" s="8">
        <v>0.964807706389061</v>
      </c>
      <c r="F37" s="8">
        <v>1.23344717590831</v>
      </c>
    </row>
    <row r="38" spans="1:7">
      <c r="A38" s="7" t="s">
        <v>43</v>
      </c>
      <c r="B38" s="8">
        <v>0.156598413941978</v>
      </c>
      <c r="C38" s="8">
        <v>0.246323086900233</v>
      </c>
      <c r="D38" s="8">
        <v>0.590335116369246</v>
      </c>
      <c r="E38" s="8">
        <v>1.29101032635342</v>
      </c>
      <c r="F38" s="8">
        <v>1.67154267301928</v>
      </c>
    </row>
    <row r="39" spans="1:7">
      <c r="A39" s="7" t="s">
        <v>44</v>
      </c>
      <c r="B39" s="8">
        <v>0.133248798367483</v>
      </c>
      <c r="C39" s="8">
        <v>0.224996259254319</v>
      </c>
      <c r="D39" s="8">
        <v>0.622694244426591</v>
      </c>
      <c r="E39" s="8">
        <v>1.5299605818511</v>
      </c>
      <c r="F39" s="8">
        <v>2.08189333398352</v>
      </c>
    </row>
    <row r="40" spans="1:7">
      <c r="A40" s="7" t="s">
        <v>45</v>
      </c>
      <c r="B40" s="8">
        <v>0.0427625662005269</v>
      </c>
      <c r="C40" s="8">
        <v>0.0623017249918305</v>
      </c>
      <c r="D40" s="8">
        <v>0.146647469448926</v>
      </c>
      <c r="E40" s="8">
        <v>0.298045312362792</v>
      </c>
      <c r="F40" s="8">
        <v>0.387623045901837</v>
      </c>
    </row>
    <row r="41" spans="1:7">
      <c r="A41" s="7" t="s">
        <v>46</v>
      </c>
      <c r="B41" s="8">
        <v>0.130064364702687</v>
      </c>
      <c r="C41" s="8">
        <v>0.184492761449203</v>
      </c>
      <c r="D41" s="8">
        <v>0.451181216345415</v>
      </c>
      <c r="E41" s="8">
        <v>0.937488647357807</v>
      </c>
      <c r="F41" s="8">
        <v>1.36213529500483</v>
      </c>
    </row>
    <row r="42" spans="1:7">
      <c r="A42" s="7" t="s">
        <v>47</v>
      </c>
      <c r="B42" s="8">
        <v>0.125153243294914</v>
      </c>
      <c r="C42" s="8">
        <v>0.188958199447949</v>
      </c>
      <c r="D42" s="8">
        <v>0.403413679203947</v>
      </c>
      <c r="E42" s="8">
        <v>0.759635434239168</v>
      </c>
      <c r="F42" s="8">
        <v>0.955754906623621</v>
      </c>
    </row>
    <row r="43" spans="1:7">
      <c r="A43" s="7" t="s">
        <v>48</v>
      </c>
      <c r="B43" s="8">
        <v>0.108093485993963</v>
      </c>
      <c r="C43" s="8">
        <v>0.168715329201591</v>
      </c>
      <c r="D43" s="8">
        <v>0.463950387494337</v>
      </c>
      <c r="E43" s="8">
        <v>0.947154409544241</v>
      </c>
      <c r="F43" s="8">
        <v>1.26162293861962</v>
      </c>
    </row>
    <row r="44" spans="1:7">
      <c r="A44" s="7" t="s">
        <v>49</v>
      </c>
      <c r="B44" s="8">
        <v>0.0437001518362744</v>
      </c>
      <c r="C44" s="8">
        <v>0.0590713114866598</v>
      </c>
      <c r="D44" s="8">
        <v>0.122481141464559</v>
      </c>
      <c r="E44" s="8">
        <v>0.264047548400013</v>
      </c>
      <c r="F44" s="8">
        <v>0.404730264322607</v>
      </c>
    </row>
    <row r="45" spans="1:7">
      <c r="A45" s="9" t="s">
        <v>50</v>
      </c>
      <c r="B45" s="10">
        <f t="shared" ref="B45:F45" si="0">SUM(B4:B44)/41</f>
        <v>0.085939335551798</v>
      </c>
      <c r="C45" s="10">
        <f t="shared" si="0"/>
        <v>0.135867394552547</v>
      </c>
      <c r="D45" s="10">
        <f t="shared" si="0"/>
        <v>0.354012113308901</v>
      </c>
      <c r="E45" s="10">
        <f t="shared" si="0"/>
        <v>0.78935341631853</v>
      </c>
      <c r="F45" s="10">
        <f t="shared" si="0"/>
        <v>1.07250830683898</v>
      </c>
    </row>
    <row r="46" spans="1:7">
      <c r="A46" s="2" t="s">
        <v>7</v>
      </c>
      <c r="B46" s="11" t="s">
        <v>51</v>
      </c>
      <c r="C46" s="12" t="s">
        <v>51</v>
      </c>
      <c r="D46" s="11" t="s">
        <v>51</v>
      </c>
      <c r="E46" s="11" t="s">
        <v>51</v>
      </c>
      <c r="F46" s="11" t="s">
        <v>51</v>
      </c>
      <c r="G46" s="11"/>
    </row>
    <row r="47" spans="1:7">
      <c r="A47" s="7" t="s">
        <v>9</v>
      </c>
      <c r="B47" s="8">
        <v>33.9481056268126</v>
      </c>
      <c r="C47" s="8">
        <v>34.8382468950239</v>
      </c>
      <c r="D47" s="8">
        <v>36.3148224788397</v>
      </c>
      <c r="E47" s="8">
        <v>37.7744600557946</v>
      </c>
      <c r="F47" s="8">
        <v>39.2460879061282</v>
      </c>
    </row>
    <row r="48" spans="1:7">
      <c r="A48" s="7" t="s">
        <v>10</v>
      </c>
      <c r="B48" s="8">
        <v>32.0653388124508</v>
      </c>
      <c r="C48" s="8">
        <v>33.3893153974699</v>
      </c>
      <c r="D48" s="8">
        <v>36.719222665969</v>
      </c>
      <c r="E48" s="8">
        <v>40.0859660067581</v>
      </c>
      <c r="F48" s="8">
        <v>41.5419867115023</v>
      </c>
    </row>
    <row r="49" spans="1:6">
      <c r="A49" s="7" t="s">
        <v>11</v>
      </c>
      <c r="B49" s="8">
        <v>34.0445161609794</v>
      </c>
      <c r="C49" s="8">
        <v>35.5033940159866</v>
      </c>
      <c r="D49" s="8">
        <v>38.8887003655656</v>
      </c>
      <c r="E49" s="8">
        <v>41.6475741215067</v>
      </c>
      <c r="F49" s="8">
        <v>42.5683879334102</v>
      </c>
    </row>
    <row r="50" spans="1:6">
      <c r="A50" s="7" t="s">
        <v>12</v>
      </c>
      <c r="B50" s="8">
        <v>25.2036203099264</v>
      </c>
      <c r="C50" s="8">
        <v>27.3193427889374</v>
      </c>
      <c r="D50" s="8">
        <v>32.1204275293823</v>
      </c>
      <c r="E50" s="8">
        <v>37.0349128190704</v>
      </c>
      <c r="F50" s="8">
        <v>38.9010585470483</v>
      </c>
    </row>
    <row r="51" spans="1:6">
      <c r="A51" s="7" t="s">
        <v>13</v>
      </c>
      <c r="B51" s="8">
        <v>32.8997227423435</v>
      </c>
      <c r="C51" s="8">
        <v>33.6066721175657</v>
      </c>
      <c r="D51" s="8">
        <v>34.9831777825942</v>
      </c>
      <c r="E51" s="8">
        <v>37.5996975709451</v>
      </c>
      <c r="F51" s="8">
        <v>40.0815410392366</v>
      </c>
    </row>
    <row r="52" spans="1:6">
      <c r="A52" s="7" t="s">
        <v>14</v>
      </c>
      <c r="B52" s="8">
        <v>28.588574613518</v>
      </c>
      <c r="C52" s="8">
        <v>30.0469592380603</v>
      </c>
      <c r="D52" s="8">
        <v>34.304857802341</v>
      </c>
      <c r="E52" s="8">
        <v>39.3834843856755</v>
      </c>
      <c r="F52" s="8">
        <v>41.2502880377012</v>
      </c>
    </row>
    <row r="53" spans="1:6">
      <c r="A53" s="7" t="s">
        <v>15</v>
      </c>
      <c r="B53" s="8">
        <v>30.1368744717434</v>
      </c>
      <c r="C53" s="8">
        <v>31.8037547173329</v>
      </c>
      <c r="D53" s="8">
        <v>35.946660891208</v>
      </c>
      <c r="E53" s="8">
        <v>39.6420911805763</v>
      </c>
      <c r="F53" s="8">
        <v>41.1119515176319</v>
      </c>
    </row>
    <row r="54" spans="1:6">
      <c r="A54" s="7" t="s">
        <v>16</v>
      </c>
      <c r="B54" s="8">
        <v>28.4312700013472</v>
      </c>
      <c r="C54" s="8">
        <v>30.0004952955757</v>
      </c>
      <c r="D54" s="8">
        <v>34.3046623133247</v>
      </c>
      <c r="E54" s="8">
        <v>38.9169482664513</v>
      </c>
      <c r="F54" s="8">
        <v>40.6688274871718</v>
      </c>
    </row>
    <row r="55" spans="1:6">
      <c r="A55" s="7" t="s">
        <v>17</v>
      </c>
      <c r="B55" s="8">
        <v>32.3366332649165</v>
      </c>
      <c r="C55" s="8">
        <v>33.0165431585037</v>
      </c>
      <c r="D55" s="8">
        <v>34.1922345152326</v>
      </c>
      <c r="E55" s="8">
        <v>38.2485219751845</v>
      </c>
      <c r="F55" s="8">
        <v>40.6469109080927</v>
      </c>
    </row>
    <row r="56" spans="1:6">
      <c r="A56" s="7" t="s">
        <v>18</v>
      </c>
      <c r="B56" s="8">
        <v>30.1005949080658</v>
      </c>
      <c r="C56" s="8">
        <v>31.7125084119934</v>
      </c>
      <c r="D56" s="8">
        <v>35.7680553032002</v>
      </c>
      <c r="E56" s="8">
        <v>39.4373496606851</v>
      </c>
      <c r="F56" s="8">
        <v>40.687298634917</v>
      </c>
    </row>
    <row r="57" spans="1:6">
      <c r="A57" s="7" t="s">
        <v>19</v>
      </c>
      <c r="B57" s="8">
        <v>27.3922380818696</v>
      </c>
      <c r="C57" s="8">
        <v>28.939135372284</v>
      </c>
      <c r="D57" s="8">
        <v>33.3399167931936</v>
      </c>
      <c r="E57" s="8">
        <v>37.6103424116193</v>
      </c>
      <c r="F57" s="8">
        <v>39.5357075077241</v>
      </c>
    </row>
    <row r="58" spans="1:6">
      <c r="A58" s="7" t="s">
        <v>20</v>
      </c>
      <c r="B58" s="8">
        <v>32.2708269863006</v>
      </c>
      <c r="C58" s="8">
        <v>33.7052078597722</v>
      </c>
      <c r="D58" s="8">
        <v>37.2348496894975</v>
      </c>
      <c r="E58" s="8">
        <v>40.9338029319632</v>
      </c>
      <c r="F58" s="8">
        <v>42.5398619779722</v>
      </c>
    </row>
    <row r="59" spans="1:6">
      <c r="A59" s="7" t="s">
        <v>21</v>
      </c>
      <c r="B59" s="8">
        <v>31.039997979312</v>
      </c>
      <c r="C59" s="8">
        <v>33.0139667914774</v>
      </c>
      <c r="D59" s="8">
        <v>37.2726696943678</v>
      </c>
      <c r="E59" s="8">
        <v>41.0616859062837</v>
      </c>
      <c r="F59" s="8">
        <v>42.5438627352347</v>
      </c>
    </row>
    <row r="60" spans="1:6">
      <c r="A60" s="7" t="s">
        <v>22</v>
      </c>
      <c r="B60" s="8">
        <v>32.9724492026345</v>
      </c>
      <c r="C60" s="8">
        <v>34.4377867476653</v>
      </c>
      <c r="D60" s="8">
        <v>37.1487851883659</v>
      </c>
      <c r="E60" s="8">
        <v>39.0451253334084</v>
      </c>
      <c r="F60" s="8">
        <v>40.4492357779317</v>
      </c>
    </row>
    <row r="61" spans="1:6">
      <c r="A61" s="7" t="s">
        <v>23</v>
      </c>
      <c r="B61" s="8">
        <v>28.1891783803019</v>
      </c>
      <c r="C61" s="8">
        <v>29.7378839690336</v>
      </c>
      <c r="D61" s="8">
        <v>34.1209010425928</v>
      </c>
      <c r="E61" s="8">
        <v>38.2653689454426</v>
      </c>
      <c r="F61" s="8">
        <v>40.3222097889795</v>
      </c>
    </row>
    <row r="62" spans="1:6">
      <c r="A62" s="7" t="s">
        <v>24</v>
      </c>
      <c r="B62" s="8">
        <v>32.7263038921965</v>
      </c>
      <c r="C62" s="8">
        <v>34.1184510290965</v>
      </c>
      <c r="D62" s="8">
        <v>37.1212818722637</v>
      </c>
      <c r="E62" s="8">
        <v>39.886959848853</v>
      </c>
      <c r="F62" s="8">
        <v>41.09920755196</v>
      </c>
    </row>
    <row r="63" spans="1:6">
      <c r="A63" s="7" t="s">
        <v>25</v>
      </c>
      <c r="B63" s="8">
        <v>36.0687307087304</v>
      </c>
      <c r="C63" s="8">
        <v>37.8371247933308</v>
      </c>
      <c r="D63" s="8">
        <v>41.4194600493555</v>
      </c>
      <c r="E63" s="8">
        <v>44.0695518288092</v>
      </c>
      <c r="F63" s="8">
        <v>44.8988096627909</v>
      </c>
    </row>
    <row r="64" spans="1:6">
      <c r="A64" s="7" t="s">
        <v>26</v>
      </c>
      <c r="B64" s="8">
        <v>32.3469789915316</v>
      </c>
      <c r="C64" s="8">
        <v>34.1094145506197</v>
      </c>
      <c r="D64" s="8">
        <v>37.7944515332238</v>
      </c>
      <c r="E64" s="8">
        <v>41.1052699877586</v>
      </c>
      <c r="F64" s="8">
        <v>42.361844532952</v>
      </c>
    </row>
    <row r="65" spans="1:6">
      <c r="A65" s="7" t="s">
        <v>27</v>
      </c>
      <c r="B65" s="8">
        <v>26.3591960850929</v>
      </c>
      <c r="C65" s="8">
        <v>28.0437091386388</v>
      </c>
      <c r="D65" s="8">
        <v>33.1085220488314</v>
      </c>
      <c r="E65" s="8">
        <v>38.1246251216639</v>
      </c>
      <c r="F65" s="8">
        <v>40.1395165572226</v>
      </c>
    </row>
    <row r="66" spans="1:6">
      <c r="A66" s="7" t="s">
        <v>28</v>
      </c>
      <c r="B66" s="8">
        <v>35.8330398420266</v>
      </c>
      <c r="C66" s="8">
        <v>36.8884896607322</v>
      </c>
      <c r="D66" s="8">
        <v>39.9261761087863</v>
      </c>
      <c r="E66" s="8">
        <v>43.2593688423674</v>
      </c>
      <c r="F66" s="8">
        <v>44.3847066893491</v>
      </c>
    </row>
    <row r="67" spans="1:6">
      <c r="A67" s="7" t="s">
        <v>29</v>
      </c>
      <c r="B67" s="8">
        <v>31.7208617585404</v>
      </c>
      <c r="C67" s="8">
        <v>32.6624084413916</v>
      </c>
      <c r="D67" s="8">
        <v>34.567655056814</v>
      </c>
      <c r="E67" s="8">
        <v>38.9863562648552</v>
      </c>
      <c r="F67" s="8">
        <v>41.5449996845306</v>
      </c>
    </row>
    <row r="68" spans="1:6">
      <c r="A68" s="7" t="s">
        <v>30</v>
      </c>
      <c r="B68" s="8">
        <v>24.9225049302513</v>
      </c>
      <c r="C68" s="8">
        <v>26.4173706493378</v>
      </c>
      <c r="D68" s="8">
        <v>31.8218552812828</v>
      </c>
      <c r="E68" s="8">
        <v>37.5006998375934</v>
      </c>
      <c r="F68" s="8">
        <v>39.7017485750704</v>
      </c>
    </row>
    <row r="69" spans="1:6">
      <c r="A69" s="7" t="s">
        <v>31</v>
      </c>
      <c r="B69" s="8">
        <v>30.2124709217656</v>
      </c>
      <c r="C69" s="8">
        <v>31.5266417970306</v>
      </c>
      <c r="D69" s="8">
        <v>35.4516398493659</v>
      </c>
      <c r="E69" s="8">
        <v>39.3444102456768</v>
      </c>
      <c r="F69" s="8">
        <v>40.8888883113282</v>
      </c>
    </row>
    <row r="70" spans="1:6">
      <c r="A70" s="7" t="s">
        <v>32</v>
      </c>
      <c r="B70" s="8">
        <v>30.0339899905067</v>
      </c>
      <c r="C70" s="8">
        <v>31.8719741837727</v>
      </c>
      <c r="D70" s="8">
        <v>36.1276144366446</v>
      </c>
      <c r="E70" s="8">
        <v>39.9827003026916</v>
      </c>
      <c r="F70" s="8">
        <v>41.5094728185406</v>
      </c>
    </row>
    <row r="71" spans="1:6">
      <c r="A71" s="7" t="s">
        <v>33</v>
      </c>
      <c r="B71" s="8">
        <v>30.0062588975843</v>
      </c>
      <c r="C71" s="8">
        <v>31.5644969047872</v>
      </c>
      <c r="D71" s="8">
        <v>35.1881502634154</v>
      </c>
      <c r="E71" s="8">
        <v>39.2506113475492</v>
      </c>
      <c r="F71" s="8">
        <v>41.1697749885148</v>
      </c>
    </row>
    <row r="72" spans="1:6">
      <c r="A72" s="7" t="s">
        <v>34</v>
      </c>
      <c r="B72" s="8">
        <v>33.5110583368524</v>
      </c>
      <c r="C72" s="8">
        <v>34.9462861902731</v>
      </c>
      <c r="D72" s="8">
        <v>38.050021528494</v>
      </c>
      <c r="E72" s="8">
        <v>40.8870181585317</v>
      </c>
      <c r="F72" s="8">
        <v>42.1732641256485</v>
      </c>
    </row>
    <row r="73" spans="1:6">
      <c r="A73" s="7" t="s">
        <v>35</v>
      </c>
      <c r="B73" s="8">
        <v>26.1821395945514</v>
      </c>
      <c r="C73" s="8">
        <v>28.9842476802898</v>
      </c>
      <c r="D73" s="8">
        <v>34.7743044635289</v>
      </c>
      <c r="E73" s="8">
        <v>40.0348524390171</v>
      </c>
      <c r="F73" s="8">
        <v>41.7213213678736</v>
      </c>
    </row>
    <row r="74" spans="1:6">
      <c r="A74" s="7" t="s">
        <v>36</v>
      </c>
      <c r="B74" s="8">
        <v>27.5989627850384</v>
      </c>
      <c r="C74" s="8">
        <v>29.1902491877428</v>
      </c>
      <c r="D74" s="8">
        <v>33.7904840613554</v>
      </c>
      <c r="E74" s="8">
        <v>38.39394799077</v>
      </c>
      <c r="F74" s="8">
        <v>40.1076336200238</v>
      </c>
    </row>
    <row r="75" spans="1:6">
      <c r="A75" s="7" t="s">
        <v>37</v>
      </c>
      <c r="B75" s="8">
        <v>26.4792887846233</v>
      </c>
      <c r="C75" s="8">
        <v>28.3378661632645</v>
      </c>
      <c r="D75" s="8">
        <v>33.0677756695387</v>
      </c>
      <c r="E75" s="8">
        <v>37.5313616621904</v>
      </c>
      <c r="F75" s="8">
        <v>39.2004761602855</v>
      </c>
    </row>
    <row r="76" spans="1:6">
      <c r="A76" s="7" t="s">
        <v>38</v>
      </c>
      <c r="B76" s="8">
        <v>34.4501453612804</v>
      </c>
      <c r="C76" s="8">
        <v>35.6989741086014</v>
      </c>
      <c r="D76" s="8">
        <v>38.3526498962622</v>
      </c>
      <c r="E76" s="8">
        <v>41.0224618385208</v>
      </c>
      <c r="F76" s="8">
        <v>41.9989342587711</v>
      </c>
    </row>
    <row r="77" spans="1:6">
      <c r="A77" s="7" t="s">
        <v>39</v>
      </c>
      <c r="B77" s="8">
        <v>32.5009982659999</v>
      </c>
      <c r="C77" s="8">
        <v>34.2387690977948</v>
      </c>
      <c r="D77" s="8">
        <v>37.7080253242122</v>
      </c>
      <c r="E77" s="8">
        <v>41.3873950165011</v>
      </c>
      <c r="F77" s="8">
        <v>42.8837302153481</v>
      </c>
    </row>
    <row r="78" spans="1:6">
      <c r="A78" s="7" t="s">
        <v>40</v>
      </c>
      <c r="B78" s="8">
        <v>31.0948966237212</v>
      </c>
      <c r="C78" s="8">
        <v>32.7033707399046</v>
      </c>
      <c r="D78" s="8">
        <v>37.2190084588089</v>
      </c>
      <c r="E78" s="8">
        <v>40.9311184243946</v>
      </c>
      <c r="F78" s="8">
        <v>42.3537305042909</v>
      </c>
    </row>
    <row r="79" spans="1:6">
      <c r="A79" s="7" t="s">
        <v>41</v>
      </c>
      <c r="B79" s="8">
        <v>35.5539293479194</v>
      </c>
      <c r="C79" s="8">
        <v>37.0678181770642</v>
      </c>
      <c r="D79" s="8">
        <v>40.1761379224152</v>
      </c>
      <c r="E79" s="8">
        <v>42.2198673883437</v>
      </c>
      <c r="F79" s="8">
        <v>43.0564630661854</v>
      </c>
    </row>
    <row r="80" spans="1:6">
      <c r="A80" s="7" t="s">
        <v>42</v>
      </c>
      <c r="B80" s="8">
        <v>28.6119880749064</v>
      </c>
      <c r="C80" s="8">
        <v>30.1655180740591</v>
      </c>
      <c r="D80" s="8">
        <v>34.9084148354252</v>
      </c>
      <c r="E80" s="8">
        <v>40.0557003077577</v>
      </c>
      <c r="F80" s="8">
        <v>42.0121369427806</v>
      </c>
    </row>
    <row r="81" spans="1:6">
      <c r="A81" s="7" t="s">
        <v>43</v>
      </c>
      <c r="B81" s="8">
        <v>27.3721174403701</v>
      </c>
      <c r="C81" s="8">
        <v>29.1816537008782</v>
      </c>
      <c r="D81" s="8">
        <v>33.4079988263561</v>
      </c>
      <c r="E81" s="8">
        <v>38.1581333000292</v>
      </c>
      <c r="F81" s="8">
        <v>39.8189765457721</v>
      </c>
    </row>
    <row r="82" spans="1:6">
      <c r="A82" s="7" t="s">
        <v>44</v>
      </c>
      <c r="B82" s="8">
        <v>26.5182656685366</v>
      </c>
      <c r="C82" s="8">
        <v>28.1207002252678</v>
      </c>
      <c r="D82" s="8">
        <v>32.226193766061</v>
      </c>
      <c r="E82" s="8">
        <v>37.1397442606415</v>
      </c>
      <c r="F82" s="8">
        <v>39.2081170785232</v>
      </c>
    </row>
    <row r="83" spans="1:6">
      <c r="A83" s="7" t="s">
        <v>45</v>
      </c>
      <c r="B83" s="8">
        <v>33.5512605216976</v>
      </c>
      <c r="C83" s="8">
        <v>35.1535195209201</v>
      </c>
      <c r="D83" s="8">
        <v>39.5310234037685</v>
      </c>
      <c r="E83" s="8">
        <v>42.459669103849</v>
      </c>
      <c r="F83" s="8">
        <v>43.425841077845</v>
      </c>
    </row>
    <row r="84" spans="1:6">
      <c r="A84" s="7" t="s">
        <v>46</v>
      </c>
      <c r="B84" s="8">
        <v>29.0971798203097</v>
      </c>
      <c r="C84" s="8">
        <v>30.7032531767916</v>
      </c>
      <c r="D84" s="8">
        <v>34.675013350201</v>
      </c>
      <c r="E84" s="8">
        <v>38.0817189954737</v>
      </c>
      <c r="F84" s="8">
        <v>39.8855641806407</v>
      </c>
    </row>
    <row r="85" spans="1:6">
      <c r="A85" s="7" t="s">
        <v>47</v>
      </c>
      <c r="B85" s="8">
        <v>29.7717037686749</v>
      </c>
      <c r="C85" s="8">
        <v>31.8712604072546</v>
      </c>
      <c r="D85" s="8">
        <v>36.6809904221769</v>
      </c>
      <c r="E85" s="8">
        <v>41.3912775836919</v>
      </c>
      <c r="F85" s="8">
        <v>43.0518761776541</v>
      </c>
    </row>
    <row r="86" spans="1:6">
      <c r="A86" s="7" t="s">
        <v>48</v>
      </c>
      <c r="B86" s="8">
        <v>28.6020906060791</v>
      </c>
      <c r="C86" s="8">
        <v>30.0169563096119</v>
      </c>
      <c r="D86" s="8">
        <v>34.7017407025805</v>
      </c>
      <c r="E86" s="8">
        <v>38.8506076524376</v>
      </c>
      <c r="F86" s="8">
        <v>40.5831117632212</v>
      </c>
    </row>
    <row r="87" spans="1:6">
      <c r="A87" s="7" t="s">
        <v>49</v>
      </c>
      <c r="B87" s="8">
        <v>34.9234820639801</v>
      </c>
      <c r="C87" s="8">
        <v>36.2754290072381</v>
      </c>
      <c r="D87" s="8">
        <v>39.2954826254761</v>
      </c>
      <c r="E87" s="8">
        <v>41.4229640147395</v>
      </c>
      <c r="F87" s="8">
        <v>42.308818295367</v>
      </c>
    </row>
    <row r="88" spans="1:6">
      <c r="A88" s="13" t="s">
        <v>52</v>
      </c>
      <c r="B88" s="10">
        <f t="shared" ref="B88:F88" si="1">SUM(B47:B87)/41</f>
        <v>30.6260923079339</v>
      </c>
      <c r="C88" s="10">
        <f t="shared" si="1"/>
        <v>32.1650528217653</v>
      </c>
      <c r="D88" s="10">
        <f t="shared" si="1"/>
        <v>35.9451711173736</v>
      </c>
      <c r="E88" s="10">
        <f t="shared" si="1"/>
        <v>39.7113591057579</v>
      </c>
      <c r="F88" s="10">
        <f t="shared" si="1"/>
        <v>41.3069312503213</v>
      </c>
    </row>
    <row r="89" ht="15" spans="1:6">
      <c r="A89" s="1" t="s">
        <v>0</v>
      </c>
      <c r="B89" s="2">
        <v>1843.17</v>
      </c>
      <c r="C89" s="3"/>
      <c r="D89" s="3"/>
      <c r="E89" s="3"/>
      <c r="F89" s="3"/>
    </row>
    <row r="90" ht="15.75" spans="1:6">
      <c r="A90" s="4" t="s">
        <v>1</v>
      </c>
      <c r="B90" s="16" t="s">
        <v>2</v>
      </c>
      <c r="C90" s="16" t="s">
        <v>3</v>
      </c>
      <c r="D90" s="16" t="s">
        <v>4</v>
      </c>
      <c r="E90" s="16" t="s">
        <v>5</v>
      </c>
      <c r="F90" s="16" t="s">
        <v>6</v>
      </c>
    </row>
    <row r="91" ht="14.25" spans="1:6">
      <c r="A91" s="2" t="s">
        <v>7</v>
      </c>
      <c r="B91" s="6" t="s">
        <v>8</v>
      </c>
      <c r="C91" s="6" t="s">
        <v>8</v>
      </c>
      <c r="D91" s="6" t="s">
        <v>8</v>
      </c>
      <c r="E91" s="6" t="s">
        <v>8</v>
      </c>
      <c r="F91" s="6" t="s">
        <v>8</v>
      </c>
    </row>
    <row r="92" spans="1:6">
      <c r="A92" s="7" t="s">
        <v>9</v>
      </c>
      <c r="B92" s="8">
        <v>0.0324619205365188</v>
      </c>
      <c r="C92" s="8">
        <v>0.0467873118048764</v>
      </c>
      <c r="D92" s="8">
        <v>0.109021825033635</v>
      </c>
      <c r="E92" s="8">
        <v>0.314329100556135</v>
      </c>
      <c r="F92" s="8">
        <v>0.655768608923465</v>
      </c>
    </row>
    <row r="93" spans="1:6">
      <c r="A93" s="7" t="s">
        <v>10</v>
      </c>
      <c r="B93" s="8">
        <v>0.047144640906894</v>
      </c>
      <c r="C93" s="8">
        <v>0.0731584217578111</v>
      </c>
      <c r="D93" s="8">
        <v>0.193195133674138</v>
      </c>
      <c r="E93" s="8">
        <v>0.488242422900342</v>
      </c>
      <c r="F93" s="8">
        <v>0.725797387742617</v>
      </c>
    </row>
    <row r="94" spans="1:6">
      <c r="A94" s="7" t="s">
        <v>11</v>
      </c>
      <c r="B94" s="8">
        <v>0.0564406521270296</v>
      </c>
      <c r="C94" s="8">
        <v>0.0778574168334028</v>
      </c>
      <c r="D94" s="8">
        <v>0.168091644311907</v>
      </c>
      <c r="E94" s="8">
        <v>0.353308991773637</v>
      </c>
      <c r="F94" s="8">
        <v>0.474214806000354</v>
      </c>
    </row>
    <row r="95" spans="1:6">
      <c r="A95" s="7" t="s">
        <v>12</v>
      </c>
      <c r="B95" s="8">
        <v>0.224638170401191</v>
      </c>
      <c r="C95" s="8">
        <v>0.368667737885004</v>
      </c>
      <c r="D95" s="8">
        <v>0.945096841386145</v>
      </c>
      <c r="E95" s="8">
        <v>1.89765784454215</v>
      </c>
      <c r="F95" s="8">
        <v>2.38649367618057</v>
      </c>
    </row>
    <row r="96" spans="1:6">
      <c r="A96" s="7" t="s">
        <v>13</v>
      </c>
      <c r="B96" s="8">
        <v>0.0283082680781832</v>
      </c>
      <c r="C96" s="8">
        <v>0.0416052352176508</v>
      </c>
      <c r="D96" s="8">
        <v>0.109984370321547</v>
      </c>
      <c r="E96" s="8">
        <v>0.526687003346671</v>
      </c>
      <c r="F96" s="8">
        <v>1.10628651143102</v>
      </c>
    </row>
    <row r="97" spans="1:6">
      <c r="A97" s="7" t="s">
        <v>14</v>
      </c>
      <c r="B97" s="8">
        <v>0.0840253224528924</v>
      </c>
      <c r="C97" s="8">
        <v>0.143406341776956</v>
      </c>
      <c r="D97" s="8">
        <v>0.464929099653621</v>
      </c>
      <c r="E97" s="8">
        <v>1.07526523246686</v>
      </c>
      <c r="F97" s="8">
        <v>1.48403720743279</v>
      </c>
    </row>
    <row r="98" spans="1:6">
      <c r="A98" s="7" t="s">
        <v>15</v>
      </c>
      <c r="B98" s="8">
        <v>0.105769843996956</v>
      </c>
      <c r="C98" s="8">
        <v>0.151036503927304</v>
      </c>
      <c r="D98" s="8">
        <v>0.361943619062646</v>
      </c>
      <c r="E98" s="8">
        <v>0.706227243149175</v>
      </c>
      <c r="F98" s="8">
        <v>0.960045161393924</v>
      </c>
    </row>
    <row r="99" spans="1:6">
      <c r="A99" s="7" t="s">
        <v>16</v>
      </c>
      <c r="B99" s="8">
        <v>0.0774032258094312</v>
      </c>
      <c r="C99" s="8">
        <v>0.144400021400398</v>
      </c>
      <c r="D99" s="8">
        <v>0.457134317945784</v>
      </c>
      <c r="E99" s="8">
        <v>1.08625342917079</v>
      </c>
      <c r="F99" s="8">
        <v>1.41870191960046</v>
      </c>
    </row>
    <row r="100" spans="1:6">
      <c r="A100" s="7" t="s">
        <v>17</v>
      </c>
      <c r="B100" s="8">
        <v>0.019499039852663</v>
      </c>
      <c r="C100" s="8">
        <v>0.0326676150948247</v>
      </c>
      <c r="D100" s="8">
        <v>0.0969597367734155</v>
      </c>
      <c r="E100" s="8">
        <v>0.778674627763821</v>
      </c>
      <c r="F100" s="8">
        <v>1.25331982468967</v>
      </c>
    </row>
    <row r="101" spans="1:6">
      <c r="A101" s="7" t="s">
        <v>18</v>
      </c>
      <c r="B101" s="8">
        <v>0.101037018816754</v>
      </c>
      <c r="C101" s="8">
        <v>0.147312981426552</v>
      </c>
      <c r="D101" s="8">
        <v>0.365974083427176</v>
      </c>
      <c r="E101" s="8">
        <v>0.763139156043365</v>
      </c>
      <c r="F101" s="8">
        <v>1.01826168166084</v>
      </c>
    </row>
    <row r="102" spans="1:6">
      <c r="A102" s="7" t="s">
        <v>19</v>
      </c>
      <c r="B102" s="8">
        <v>0.120459619277814</v>
      </c>
      <c r="C102" s="8">
        <v>0.20099417708973</v>
      </c>
      <c r="D102" s="8">
        <v>0.552240332888165</v>
      </c>
      <c r="E102" s="8">
        <v>1.24603130884627</v>
      </c>
      <c r="F102" s="8">
        <v>1.70776777930716</v>
      </c>
    </row>
    <row r="103" spans="1:6">
      <c r="A103" s="7" t="s">
        <v>20</v>
      </c>
      <c r="B103" s="8">
        <v>0.0466206776801119</v>
      </c>
      <c r="C103" s="8">
        <v>0.0689309229965875</v>
      </c>
      <c r="D103" s="8">
        <v>0.198527517252005</v>
      </c>
      <c r="E103" s="8">
        <v>0.471908884577787</v>
      </c>
      <c r="F103" s="8">
        <v>0.670052031044251</v>
      </c>
    </row>
    <row r="104" spans="1:6">
      <c r="A104" s="7" t="s">
        <v>21</v>
      </c>
      <c r="B104" s="8">
        <v>0.0951146406001672</v>
      </c>
      <c r="C104" s="8">
        <v>0.139280071190677</v>
      </c>
      <c r="D104" s="8">
        <v>0.3065297917343</v>
      </c>
      <c r="E104" s="8">
        <v>0.586058719723604</v>
      </c>
      <c r="F104" s="8">
        <v>0.779082082386247</v>
      </c>
    </row>
    <row r="105" spans="1:6">
      <c r="A105" s="7" t="s">
        <v>22</v>
      </c>
      <c r="B105" s="8">
        <v>0.0471143609262688</v>
      </c>
      <c r="C105" s="8">
        <v>0.0699905053130968</v>
      </c>
      <c r="D105" s="8">
        <v>0.152741914463756</v>
      </c>
      <c r="E105" s="8">
        <v>0.344323948340086</v>
      </c>
      <c r="F105" s="8">
        <v>0.605316779890625</v>
      </c>
    </row>
    <row r="106" spans="1:6">
      <c r="A106" s="7" t="s">
        <v>23</v>
      </c>
      <c r="B106" s="8">
        <v>0.10615377360343</v>
      </c>
      <c r="C106" s="8">
        <v>0.178993031842103</v>
      </c>
      <c r="D106" s="8">
        <v>0.50996450892969</v>
      </c>
      <c r="E106" s="8">
        <v>1.12676637898518</v>
      </c>
      <c r="F106" s="8">
        <v>1.53191851497947</v>
      </c>
    </row>
    <row r="107" spans="1:6">
      <c r="A107" s="7" t="s">
        <v>24</v>
      </c>
      <c r="B107" s="8">
        <v>0.0398500200200675</v>
      </c>
      <c r="C107" s="8">
        <v>0.0616721698853968</v>
      </c>
      <c r="D107" s="8">
        <v>0.16258621093145</v>
      </c>
      <c r="E107" s="8">
        <v>0.423377356196552</v>
      </c>
      <c r="F107" s="8">
        <v>0.613560791297614</v>
      </c>
    </row>
    <row r="108" spans="1:6">
      <c r="A108" s="7" t="s">
        <v>25</v>
      </c>
      <c r="B108" s="8">
        <v>0.0376205717418138</v>
      </c>
      <c r="C108" s="8">
        <v>0.0521231538820807</v>
      </c>
      <c r="D108" s="8">
        <v>0.115606285931522</v>
      </c>
      <c r="E108" s="8">
        <v>0.268980720845962</v>
      </c>
      <c r="F108" s="8">
        <v>0.293682631405049</v>
      </c>
    </row>
    <row r="109" spans="1:6">
      <c r="A109" s="7" t="s">
        <v>26</v>
      </c>
      <c r="B109" s="8">
        <v>0.0978784464134385</v>
      </c>
      <c r="C109" s="8">
        <v>0.129471705837409</v>
      </c>
      <c r="D109" s="8">
        <v>0.277515084559332</v>
      </c>
      <c r="E109" s="8">
        <v>0.553556687740843</v>
      </c>
      <c r="F109" s="8">
        <v>0.718558908982436</v>
      </c>
    </row>
    <row r="110" spans="1:6">
      <c r="A110" s="7" t="s">
        <v>27</v>
      </c>
      <c r="B110" s="8">
        <v>0.107991449708463</v>
      </c>
      <c r="C110" s="8">
        <v>0.195293082097889</v>
      </c>
      <c r="D110" s="8">
        <v>0.641494969079615</v>
      </c>
      <c r="E110" s="8">
        <v>1.47099931788292</v>
      </c>
      <c r="F110" s="8">
        <v>1.89635513926518</v>
      </c>
    </row>
    <row r="111" spans="1:6">
      <c r="A111" s="7" t="s">
        <v>28</v>
      </c>
      <c r="B111" s="8">
        <v>0.0189299660424391</v>
      </c>
      <c r="C111" s="8">
        <v>0.0292598458627859</v>
      </c>
      <c r="D111" s="8">
        <v>0.0868391820850471</v>
      </c>
      <c r="E111" s="8">
        <v>0.222869560370842</v>
      </c>
      <c r="F111" s="8">
        <v>0.306825650172928</v>
      </c>
    </row>
    <row r="112" spans="1:6">
      <c r="A112" s="7" t="s">
        <v>29</v>
      </c>
      <c r="B112" s="8">
        <v>0.0253696650092664</v>
      </c>
      <c r="C112" s="8">
        <v>0.0422262408596637</v>
      </c>
      <c r="D112" s="8">
        <v>0.14485002717126</v>
      </c>
      <c r="E112" s="8">
        <v>0.691350367275363</v>
      </c>
      <c r="F112" s="8">
        <v>1.09541691595811</v>
      </c>
    </row>
    <row r="113" spans="1:6">
      <c r="A113" s="7" t="s">
        <v>30</v>
      </c>
      <c r="B113" s="8">
        <v>0.174838337699572</v>
      </c>
      <c r="C113" s="8">
        <v>0.306290786365668</v>
      </c>
      <c r="D113" s="8">
        <v>1.04033991473416</v>
      </c>
      <c r="E113" s="8">
        <v>2.13865066843728</v>
      </c>
      <c r="F113" s="8">
        <v>2.67037584970394</v>
      </c>
    </row>
    <row r="114" spans="1:6">
      <c r="A114" s="7" t="s">
        <v>31</v>
      </c>
      <c r="B114" s="8">
        <v>0.05397982943305</v>
      </c>
      <c r="C114" s="8">
        <v>0.0923923319342099</v>
      </c>
      <c r="D114" s="8">
        <v>0.306901460527118</v>
      </c>
      <c r="E114" s="8">
        <v>0.741862977868553</v>
      </c>
      <c r="F114" s="8">
        <v>1.01443327825018</v>
      </c>
    </row>
    <row r="115" spans="1:6">
      <c r="A115" s="7" t="s">
        <v>32</v>
      </c>
      <c r="B115" s="8">
        <v>0.0764271873165426</v>
      </c>
      <c r="C115" s="8">
        <v>0.130386711575513</v>
      </c>
      <c r="D115" s="8">
        <v>0.326912879024123</v>
      </c>
      <c r="E115" s="8">
        <v>0.695583329547619</v>
      </c>
      <c r="F115" s="8">
        <v>0.95103417477799</v>
      </c>
    </row>
    <row r="116" spans="1:6">
      <c r="A116" s="7" t="s">
        <v>33</v>
      </c>
      <c r="B116" s="8">
        <v>0.110182962254336</v>
      </c>
      <c r="C116" s="8">
        <v>0.156195288398018</v>
      </c>
      <c r="D116" s="8">
        <v>0.3707872730351</v>
      </c>
      <c r="E116" s="8">
        <v>0.805606968574872</v>
      </c>
      <c r="F116" s="8">
        <v>1.11981151612912</v>
      </c>
    </row>
    <row r="117" spans="1:6">
      <c r="A117" s="7" t="s">
        <v>34</v>
      </c>
      <c r="B117" s="8">
        <v>0.0338698394782704</v>
      </c>
      <c r="C117" s="8">
        <v>0.0516923800762606</v>
      </c>
      <c r="D117" s="8">
        <v>0.137703333022059</v>
      </c>
      <c r="E117" s="8">
        <v>0.332748716669143</v>
      </c>
      <c r="F117" s="8">
        <v>0.495504399267943</v>
      </c>
    </row>
    <row r="118" spans="1:6">
      <c r="A118" s="7" t="s">
        <v>35</v>
      </c>
      <c r="B118" s="8">
        <v>0.291428997064992</v>
      </c>
      <c r="C118" s="8">
        <v>0.459306276287003</v>
      </c>
      <c r="D118" s="8">
        <v>0.92099125951068</v>
      </c>
      <c r="E118" s="8">
        <v>1.51831730909185</v>
      </c>
      <c r="F118" s="8">
        <v>1.8103457045509</v>
      </c>
    </row>
    <row r="119" spans="1:6">
      <c r="A119" s="7" t="s">
        <v>36</v>
      </c>
      <c r="B119" s="8">
        <v>0.101285946836963</v>
      </c>
      <c r="C119" s="8">
        <v>0.178569586763426</v>
      </c>
      <c r="D119" s="8">
        <v>0.542943772675737</v>
      </c>
      <c r="E119" s="8">
        <v>1.19361482868184</v>
      </c>
      <c r="F119" s="8">
        <v>1.55321909189437</v>
      </c>
    </row>
    <row r="120" spans="1:6">
      <c r="A120" s="7" t="s">
        <v>37</v>
      </c>
      <c r="B120" s="8">
        <v>0.142462828644171</v>
      </c>
      <c r="C120" s="8">
        <v>0.255880835913673</v>
      </c>
      <c r="D120" s="8">
        <v>0.715876367390707</v>
      </c>
      <c r="E120" s="8">
        <v>1.47815745648051</v>
      </c>
      <c r="F120" s="8">
        <v>1.95026513978894</v>
      </c>
    </row>
    <row r="121" spans="1:6">
      <c r="A121" s="7" t="s">
        <v>38</v>
      </c>
      <c r="B121" s="8">
        <v>0.0286530057026325</v>
      </c>
      <c r="C121" s="8">
        <v>0.0423788452578961</v>
      </c>
      <c r="D121" s="8">
        <v>0.127552751085001</v>
      </c>
      <c r="E121" s="8">
        <v>0.318926975695627</v>
      </c>
      <c r="F121" s="8">
        <v>0.462681518966543</v>
      </c>
    </row>
    <row r="122" spans="1:6">
      <c r="A122" s="7" t="s">
        <v>39</v>
      </c>
      <c r="B122" s="8">
        <v>0.0781712681055069</v>
      </c>
      <c r="C122" s="8">
        <v>0.105710744857788</v>
      </c>
      <c r="D122" s="8">
        <v>0.220284469425678</v>
      </c>
      <c r="E122" s="8">
        <v>0.48386663198471</v>
      </c>
      <c r="F122" s="8">
        <v>0.666974544525146</v>
      </c>
    </row>
    <row r="123" spans="1:6">
      <c r="A123" s="7" t="s">
        <v>40</v>
      </c>
      <c r="B123" s="8">
        <v>0.0661295036607909</v>
      </c>
      <c r="C123" s="8">
        <v>0.101623549946539</v>
      </c>
      <c r="D123" s="8">
        <v>0.276181464903943</v>
      </c>
      <c r="E123" s="8">
        <v>0.567711647023402</v>
      </c>
      <c r="F123" s="8">
        <v>0.751870676298581</v>
      </c>
    </row>
    <row r="124" spans="1:6">
      <c r="A124" s="7" t="s">
        <v>41</v>
      </c>
      <c r="B124" s="8">
        <v>0.0278914788478383</v>
      </c>
      <c r="C124" s="8">
        <v>0.0407921391279765</v>
      </c>
      <c r="D124" s="8">
        <v>0.0940133178347119</v>
      </c>
      <c r="E124" s="8">
        <v>0.214704219132787</v>
      </c>
      <c r="F124" s="8">
        <v>0.302477475136644</v>
      </c>
    </row>
    <row r="125" spans="1:6">
      <c r="A125" s="7" t="s">
        <v>42</v>
      </c>
      <c r="B125" s="8">
        <v>0.0786106013389741</v>
      </c>
      <c r="C125" s="8">
        <v>0.137448047723106</v>
      </c>
      <c r="D125" s="8">
        <v>0.457351400020948</v>
      </c>
      <c r="E125" s="8">
        <v>0.969265451158813</v>
      </c>
      <c r="F125" s="8">
        <v>1.254003058623</v>
      </c>
    </row>
    <row r="126" spans="1:6">
      <c r="A126" s="7" t="s">
        <v>43</v>
      </c>
      <c r="B126" s="8">
        <v>0.159149115552722</v>
      </c>
      <c r="C126" s="8">
        <v>0.246395160091637</v>
      </c>
      <c r="D126" s="8">
        <v>0.608506391403793</v>
      </c>
      <c r="E126" s="8">
        <v>1.32367460860085</v>
      </c>
      <c r="F126" s="8">
        <v>1.70044790545624</v>
      </c>
    </row>
    <row r="127" spans="1:6">
      <c r="A127" s="7" t="s">
        <v>44</v>
      </c>
      <c r="B127" s="8">
        <v>0.133248798367483</v>
      </c>
      <c r="C127" s="8">
        <v>0.224996259254319</v>
      </c>
      <c r="D127" s="8">
        <v>0.619099339288575</v>
      </c>
      <c r="E127" s="8">
        <v>1.54406681452403</v>
      </c>
      <c r="F127" s="8">
        <v>2.12161990423212</v>
      </c>
    </row>
    <row r="128" spans="1:6">
      <c r="A128" s="7" t="s">
        <v>45</v>
      </c>
      <c r="B128" s="8">
        <v>0.0427625662005269</v>
      </c>
      <c r="C128" s="8">
        <v>0.0623017249918305</v>
      </c>
      <c r="D128" s="8">
        <v>0.152704014751198</v>
      </c>
      <c r="E128" s="8">
        <v>0.304938546224566</v>
      </c>
      <c r="F128" s="8">
        <v>0.399694083101185</v>
      </c>
    </row>
    <row r="129" spans="1:6">
      <c r="A129" s="7" t="s">
        <v>46</v>
      </c>
      <c r="B129" s="8">
        <v>0.131166862503872</v>
      </c>
      <c r="C129" s="8">
        <v>0.187354863335625</v>
      </c>
      <c r="D129" s="8">
        <v>0.451181216345415</v>
      </c>
      <c r="E129" s="8">
        <v>0.979243227926329</v>
      </c>
      <c r="F129" s="8">
        <v>1.4007731323999</v>
      </c>
    </row>
    <row r="130" spans="1:6">
      <c r="A130" s="7" t="s">
        <v>47</v>
      </c>
      <c r="B130" s="8">
        <v>0.134764716713686</v>
      </c>
      <c r="C130" s="8">
        <v>0.206633705398996</v>
      </c>
      <c r="D130" s="8">
        <v>0.45085621367674</v>
      </c>
      <c r="E130" s="8">
        <v>0.840109633035023</v>
      </c>
      <c r="F130" s="8">
        <v>1.07253741401713</v>
      </c>
    </row>
    <row r="131" spans="1:6">
      <c r="A131" s="7" t="s">
        <v>48</v>
      </c>
      <c r="B131" s="8">
        <v>0.108093485993963</v>
      </c>
      <c r="C131" s="8">
        <v>0.167511169625145</v>
      </c>
      <c r="D131" s="8">
        <v>0.484933262051713</v>
      </c>
      <c r="E131" s="8">
        <v>0.988140364003998</v>
      </c>
      <c r="F131" s="8">
        <v>1.3038379245565</v>
      </c>
    </row>
    <row r="132" spans="1:6">
      <c r="A132" s="7" t="s">
        <v>49</v>
      </c>
      <c r="B132" s="8">
        <v>0.0437001518362744</v>
      </c>
      <c r="C132" s="8">
        <v>0.0590713114866598</v>
      </c>
      <c r="D132" s="8">
        <v>0.144805466050056</v>
      </c>
      <c r="E132" s="8">
        <v>0.288726713267861</v>
      </c>
      <c r="F132" s="8">
        <v>0.39629248179659</v>
      </c>
    </row>
    <row r="133" spans="1:6">
      <c r="A133" s="9" t="s">
        <v>50</v>
      </c>
      <c r="B133" s="10">
        <f t="shared" ref="B133:F133" si="2">SUM(B92:B132)/41</f>
        <v>0.0862597262818039</v>
      </c>
      <c r="C133" s="10">
        <f t="shared" si="2"/>
        <v>0.136782102741305</v>
      </c>
      <c r="D133" s="10">
        <f t="shared" si="2"/>
        <v>0.362711025935942</v>
      </c>
      <c r="E133" s="10">
        <f t="shared" si="2"/>
        <v>0.807900619278732</v>
      </c>
      <c r="F133" s="10">
        <f t="shared" si="2"/>
        <v>1.09999178739555</v>
      </c>
    </row>
    <row r="134" spans="1:6">
      <c r="A134" s="2" t="s">
        <v>7</v>
      </c>
      <c r="B134" s="11" t="s">
        <v>51</v>
      </c>
      <c r="C134" s="12" t="s">
        <v>51</v>
      </c>
      <c r="D134" s="11" t="s">
        <v>51</v>
      </c>
      <c r="E134" s="11" t="s">
        <v>51</v>
      </c>
      <c r="F134" s="11" t="s">
        <v>51</v>
      </c>
    </row>
    <row r="135" spans="1:6">
      <c r="A135" s="7" t="s">
        <v>9</v>
      </c>
      <c r="B135" s="8">
        <v>33.9481056268126</v>
      </c>
      <c r="C135" s="8">
        <v>34.8382468950239</v>
      </c>
      <c r="D135" s="8">
        <v>36.3148224788397</v>
      </c>
      <c r="E135" s="8">
        <v>37.7811966974049</v>
      </c>
      <c r="F135" s="8">
        <v>39.0874806505177</v>
      </c>
    </row>
    <row r="136" spans="1:6">
      <c r="A136" s="7" t="s">
        <v>10</v>
      </c>
      <c r="B136" s="8">
        <v>31.8165064444518</v>
      </c>
      <c r="C136" s="8">
        <v>33.307068246124</v>
      </c>
      <c r="D136" s="8">
        <v>36.719222665969</v>
      </c>
      <c r="E136" s="8">
        <v>40.1059871226279</v>
      </c>
      <c r="F136" s="8">
        <v>41.43332323623</v>
      </c>
    </row>
    <row r="137" spans="1:6">
      <c r="A137" s="7" t="s">
        <v>11</v>
      </c>
      <c r="B137" s="8">
        <v>33.8943796792211</v>
      </c>
      <c r="C137" s="8">
        <v>35.5033940159866</v>
      </c>
      <c r="D137" s="8">
        <v>38.8575310973515</v>
      </c>
      <c r="E137" s="8">
        <v>41.6397969217721</v>
      </c>
      <c r="F137" s="8">
        <v>42.5986393165153</v>
      </c>
    </row>
    <row r="138" spans="1:6">
      <c r="A138" s="7" t="s">
        <v>12</v>
      </c>
      <c r="B138" s="8">
        <v>25.1290459641806</v>
      </c>
      <c r="C138" s="8">
        <v>27.2284047048332</v>
      </c>
      <c r="D138" s="8">
        <v>32.0696884481123</v>
      </c>
      <c r="E138" s="8">
        <v>37.0806630861482</v>
      </c>
      <c r="F138" s="8">
        <v>38.925099761492</v>
      </c>
    </row>
    <row r="139" spans="1:6">
      <c r="A139" s="7" t="s">
        <v>13</v>
      </c>
      <c r="B139" s="8">
        <v>32.8997227423435</v>
      </c>
      <c r="C139" s="8">
        <v>33.6066721175657</v>
      </c>
      <c r="D139" s="8">
        <v>34.9521922732661</v>
      </c>
      <c r="E139" s="8">
        <v>37.4929562305837</v>
      </c>
      <c r="F139" s="8">
        <v>40.0766451997289</v>
      </c>
    </row>
    <row r="140" spans="1:6">
      <c r="A140" s="7" t="s">
        <v>14</v>
      </c>
      <c r="B140" s="8">
        <v>28.5734613693291</v>
      </c>
      <c r="C140" s="8">
        <v>30.0469592380603</v>
      </c>
      <c r="D140" s="8">
        <v>34.2552010165103</v>
      </c>
      <c r="E140" s="8">
        <v>39.2458870916518</v>
      </c>
      <c r="F140" s="8">
        <v>41.3995773628236</v>
      </c>
    </row>
    <row r="141" spans="1:6">
      <c r="A141" s="7" t="s">
        <v>15</v>
      </c>
      <c r="B141" s="8">
        <v>30.0310676408503</v>
      </c>
      <c r="C141" s="8">
        <v>31.6512490160489</v>
      </c>
      <c r="D141" s="8">
        <v>35.8423263590524</v>
      </c>
      <c r="E141" s="8">
        <v>39.4253179477343</v>
      </c>
      <c r="F141" s="8">
        <v>41.1008643610705</v>
      </c>
    </row>
    <row r="142" spans="1:6">
      <c r="A142" s="7" t="s">
        <v>16</v>
      </c>
      <c r="B142" s="8">
        <v>28.3639069658831</v>
      </c>
      <c r="C142" s="8">
        <v>29.9635568382224</v>
      </c>
      <c r="D142" s="8">
        <v>34.1602736035827</v>
      </c>
      <c r="E142" s="8">
        <v>38.9011660102585</v>
      </c>
      <c r="F142" s="8">
        <v>40.5725133401102</v>
      </c>
    </row>
    <row r="143" spans="1:6">
      <c r="A143" s="7" t="s">
        <v>17</v>
      </c>
      <c r="B143" s="8">
        <v>32.3366332649165</v>
      </c>
      <c r="C143" s="8">
        <v>33.0161163579158</v>
      </c>
      <c r="D143" s="8">
        <v>34.1800219132354</v>
      </c>
      <c r="E143" s="8">
        <v>38.2485219751845</v>
      </c>
      <c r="F143" s="8">
        <v>40.6041588156376</v>
      </c>
    </row>
    <row r="144" spans="1:6">
      <c r="A144" s="7" t="s">
        <v>18</v>
      </c>
      <c r="B144" s="8">
        <v>30.0382968696474</v>
      </c>
      <c r="C144" s="8">
        <v>31.6192010672424</v>
      </c>
      <c r="D144" s="8">
        <v>35.7836791874096</v>
      </c>
      <c r="E144" s="8">
        <v>39.4373496606851</v>
      </c>
      <c r="F144" s="8">
        <v>40.8654290843415</v>
      </c>
    </row>
    <row r="145" spans="1:6">
      <c r="A145" s="7" t="s">
        <v>19</v>
      </c>
      <c r="B145" s="8">
        <v>27.4049075756445</v>
      </c>
      <c r="C145" s="8">
        <v>28.9963971059788</v>
      </c>
      <c r="D145" s="8">
        <v>33.2494576026963</v>
      </c>
      <c r="E145" s="8">
        <v>37.6005522140993</v>
      </c>
      <c r="F145" s="8">
        <v>39.512294134382</v>
      </c>
    </row>
    <row r="146" spans="1:6">
      <c r="A146" s="7" t="s">
        <v>20</v>
      </c>
      <c r="B146" s="8">
        <v>32.2708269863006</v>
      </c>
      <c r="C146" s="8">
        <v>33.7052078597722</v>
      </c>
      <c r="D146" s="8">
        <v>37.2759818888324</v>
      </c>
      <c r="E146" s="8">
        <v>40.9074231959423</v>
      </c>
      <c r="F146" s="8">
        <v>42.5808240283095</v>
      </c>
    </row>
    <row r="147" spans="1:6">
      <c r="A147" s="7" t="s">
        <v>21</v>
      </c>
      <c r="B147" s="8">
        <v>30.9873195673743</v>
      </c>
      <c r="C147" s="8">
        <v>32.9361765327318</v>
      </c>
      <c r="D147" s="8">
        <v>37.2685226394149</v>
      </c>
      <c r="E147" s="8">
        <v>41.0118310756786</v>
      </c>
      <c r="F147" s="8">
        <v>42.4238471890751</v>
      </c>
    </row>
    <row r="148" spans="1:6">
      <c r="A148" s="7" t="s">
        <v>22</v>
      </c>
      <c r="B148" s="8">
        <v>32.9724492026345</v>
      </c>
      <c r="C148" s="8">
        <v>34.435608305688</v>
      </c>
      <c r="D148" s="8">
        <v>37.1306558520389</v>
      </c>
      <c r="E148" s="8">
        <v>39.0251120422368</v>
      </c>
      <c r="F148" s="8">
        <v>40.383713424112</v>
      </c>
    </row>
    <row r="149" spans="1:6">
      <c r="A149" s="7" t="s">
        <v>23</v>
      </c>
      <c r="B149" s="8">
        <v>28.1135928615697</v>
      </c>
      <c r="C149" s="8">
        <v>29.7405559545892</v>
      </c>
      <c r="D149" s="8">
        <v>34.1023328051809</v>
      </c>
      <c r="E149" s="8">
        <v>38.3147923028765</v>
      </c>
      <c r="F149" s="8">
        <v>40.3558245850516</v>
      </c>
    </row>
    <row r="150" spans="1:6">
      <c r="A150" s="7" t="s">
        <v>24</v>
      </c>
      <c r="B150" s="8">
        <v>32.7263038921965</v>
      </c>
      <c r="C150" s="8">
        <v>34.0530424220852</v>
      </c>
      <c r="D150" s="8">
        <v>36.964801121872</v>
      </c>
      <c r="E150" s="8">
        <v>39.9061357621133</v>
      </c>
      <c r="F150" s="8">
        <v>41.0910048767235</v>
      </c>
    </row>
    <row r="151" spans="1:6">
      <c r="A151" s="7" t="s">
        <v>25</v>
      </c>
      <c r="B151" s="8">
        <v>36.0687307087304</v>
      </c>
      <c r="C151" s="8">
        <v>37.8371247933308</v>
      </c>
      <c r="D151" s="8">
        <v>41.4194600493555</v>
      </c>
      <c r="E151" s="8">
        <v>43.5740917790838</v>
      </c>
      <c r="F151" s="8">
        <v>44.8448291710619</v>
      </c>
    </row>
    <row r="152" spans="1:6">
      <c r="A152" s="7" t="s">
        <v>26</v>
      </c>
      <c r="B152" s="8">
        <v>32.3469789915316</v>
      </c>
      <c r="C152" s="8">
        <v>34.1347390067981</v>
      </c>
      <c r="D152" s="8">
        <v>37.7341689157749</v>
      </c>
      <c r="E152" s="8">
        <v>41.0621051625598</v>
      </c>
      <c r="F152" s="8">
        <v>42.3753023174222</v>
      </c>
    </row>
    <row r="153" spans="1:6">
      <c r="A153" s="7" t="s">
        <v>27</v>
      </c>
      <c r="B153" s="8">
        <v>26.2422180159045</v>
      </c>
      <c r="C153" s="8">
        <v>28.0437091386388</v>
      </c>
      <c r="D153" s="8">
        <v>33.022550660654</v>
      </c>
      <c r="E153" s="8">
        <v>38.1881273271286</v>
      </c>
      <c r="F153" s="8">
        <v>40.1378970722462</v>
      </c>
    </row>
    <row r="154" spans="1:6">
      <c r="A154" s="7" t="s">
        <v>28</v>
      </c>
      <c r="B154" s="8">
        <v>35.8330398420266</v>
      </c>
      <c r="C154" s="8">
        <v>36.9025136004897</v>
      </c>
      <c r="D154" s="8">
        <v>39.9261761087863</v>
      </c>
      <c r="E154" s="8">
        <v>43.236281409529</v>
      </c>
      <c r="F154" s="8">
        <v>44.364400274157</v>
      </c>
    </row>
    <row r="155" spans="1:6">
      <c r="A155" s="7" t="s">
        <v>29</v>
      </c>
      <c r="B155" s="8">
        <v>31.7188484295183</v>
      </c>
      <c r="C155" s="8">
        <v>32.6431364638368</v>
      </c>
      <c r="D155" s="8">
        <v>34.5292202282556</v>
      </c>
      <c r="E155" s="8">
        <v>39.0005540208102</v>
      </c>
      <c r="F155" s="8">
        <v>41.5039523302816</v>
      </c>
    </row>
    <row r="156" spans="1:6">
      <c r="A156" s="7" t="s">
        <v>30</v>
      </c>
      <c r="B156" s="8">
        <v>24.9225049302513</v>
      </c>
      <c r="C156" s="8">
        <v>26.4173706493378</v>
      </c>
      <c r="D156" s="8">
        <v>31.7929938149004</v>
      </c>
      <c r="E156" s="8">
        <v>37.5109968844375</v>
      </c>
      <c r="F156" s="8">
        <v>39.7032436914081</v>
      </c>
    </row>
    <row r="157" spans="1:6">
      <c r="A157" s="7" t="s">
        <v>31</v>
      </c>
      <c r="B157" s="8">
        <v>30.2124709217656</v>
      </c>
      <c r="C157" s="8">
        <v>31.5307452338806</v>
      </c>
      <c r="D157" s="8">
        <v>35.3744269030249</v>
      </c>
      <c r="E157" s="14">
        <v>39.30100950389</v>
      </c>
      <c r="F157" s="8">
        <v>40.8493263414457</v>
      </c>
    </row>
    <row r="158" spans="1:6">
      <c r="A158" s="7" t="s">
        <v>32</v>
      </c>
      <c r="B158" s="8">
        <v>30.0186828750485</v>
      </c>
      <c r="C158" s="8">
        <v>31.8719741837727</v>
      </c>
      <c r="D158" s="8">
        <v>36.1498449373259</v>
      </c>
      <c r="E158" s="8">
        <v>40.029534537707</v>
      </c>
      <c r="F158" s="8">
        <v>41.3861669630734</v>
      </c>
    </row>
    <row r="159" spans="1:6">
      <c r="A159" s="7" t="s">
        <v>33</v>
      </c>
      <c r="B159" s="8">
        <v>30.0062588975843</v>
      </c>
      <c r="C159" s="8">
        <v>31.5644969047872</v>
      </c>
      <c r="D159" s="8">
        <v>35.1156504256221</v>
      </c>
      <c r="E159" s="8">
        <v>39.2467188321246</v>
      </c>
      <c r="F159" s="8">
        <v>41.1488039197599</v>
      </c>
    </row>
    <row r="160" spans="1:6">
      <c r="A160" s="7" t="s">
        <v>34</v>
      </c>
      <c r="B160" s="8">
        <v>33.5110583368524</v>
      </c>
      <c r="C160" s="8">
        <v>34.9462861902731</v>
      </c>
      <c r="D160" s="8">
        <v>37.9354529715634</v>
      </c>
      <c r="E160" s="8">
        <v>40.8838441541546</v>
      </c>
      <c r="F160" s="8">
        <v>42.0068789409962</v>
      </c>
    </row>
    <row r="161" spans="1:6">
      <c r="A161" s="7" t="s">
        <v>35</v>
      </c>
      <c r="B161" s="8">
        <v>26.1821395945514</v>
      </c>
      <c r="C161" s="8">
        <v>28.9406927694078</v>
      </c>
      <c r="D161" s="8">
        <v>34.7712262445356</v>
      </c>
      <c r="E161" s="8">
        <v>39.8993626245408</v>
      </c>
      <c r="F161" s="8">
        <v>41.8138563732185</v>
      </c>
    </row>
    <row r="162" spans="1:6">
      <c r="A162" s="7" t="s">
        <v>36</v>
      </c>
      <c r="B162" s="8">
        <v>27.5989627850384</v>
      </c>
      <c r="C162" s="8">
        <v>29.1878951179924</v>
      </c>
      <c r="D162" s="8">
        <v>33.747887854661</v>
      </c>
      <c r="E162" s="8">
        <v>38.3677338358099</v>
      </c>
      <c r="F162" s="8">
        <v>40.0825499190063</v>
      </c>
    </row>
    <row r="163" spans="1:6">
      <c r="A163" s="7" t="s">
        <v>37</v>
      </c>
      <c r="B163" s="8">
        <v>26.4792887846233</v>
      </c>
      <c r="C163" s="8">
        <v>28.1805722155131</v>
      </c>
      <c r="D163" s="8">
        <v>32.8974270448848</v>
      </c>
      <c r="E163" s="8">
        <v>37.5187923854126</v>
      </c>
      <c r="F163" s="8">
        <v>39.0895130840457</v>
      </c>
    </row>
    <row r="164" spans="1:6">
      <c r="A164" s="7" t="s">
        <v>38</v>
      </c>
      <c r="B164" s="8">
        <v>34.4501453612804</v>
      </c>
      <c r="C164" s="8">
        <v>35.6989741086014</v>
      </c>
      <c r="D164" s="8">
        <v>38.4465473363474</v>
      </c>
      <c r="E164" s="8">
        <v>40.9907957626352</v>
      </c>
      <c r="F164" s="8">
        <v>41.9989342587711</v>
      </c>
    </row>
    <row r="165" spans="1:6">
      <c r="A165" s="7" t="s">
        <v>39</v>
      </c>
      <c r="B165" s="8">
        <v>32.5009982659999</v>
      </c>
      <c r="C165" s="8">
        <v>34.2387690977948</v>
      </c>
      <c r="D165" s="8">
        <v>37.7080253242122</v>
      </c>
      <c r="E165" s="8">
        <v>41.4070960515434</v>
      </c>
      <c r="F165" s="8">
        <v>42.9044564276999</v>
      </c>
    </row>
    <row r="166" spans="1:6">
      <c r="A166" s="7" t="s">
        <v>40</v>
      </c>
      <c r="B166" s="8">
        <v>31.0756953865591</v>
      </c>
      <c r="C166" s="8">
        <v>32.7033707399046</v>
      </c>
      <c r="D166" s="8">
        <v>37.0957273170353</v>
      </c>
      <c r="E166" s="8">
        <v>40.9084268438679</v>
      </c>
      <c r="F166" s="8">
        <v>42.3306907381588</v>
      </c>
    </row>
    <row r="167" spans="1:6">
      <c r="A167" s="7" t="s">
        <v>41</v>
      </c>
      <c r="B167" s="8">
        <v>35.5539293479194</v>
      </c>
      <c r="C167" s="8">
        <v>37.0678181770642</v>
      </c>
      <c r="D167" s="8">
        <v>40.1761379224152</v>
      </c>
      <c r="E167" s="8">
        <v>42.222811986042</v>
      </c>
      <c r="F167" s="8">
        <v>43.0341201980753</v>
      </c>
    </row>
    <row r="168" spans="1:6">
      <c r="A168" s="7" t="s">
        <v>42</v>
      </c>
      <c r="B168" s="8">
        <v>28.577192488295</v>
      </c>
      <c r="C168" s="8">
        <v>30.0828877673889</v>
      </c>
      <c r="D168" s="8">
        <v>34.8923214592595</v>
      </c>
      <c r="E168" s="8">
        <v>40.0545107717702</v>
      </c>
      <c r="F168" s="8">
        <v>42.0487738219307</v>
      </c>
    </row>
    <row r="169" spans="1:6">
      <c r="A169" s="7" t="s">
        <v>43</v>
      </c>
      <c r="B169" s="8">
        <v>27.4075157736863</v>
      </c>
      <c r="C169" s="8">
        <v>29.1010506402252</v>
      </c>
      <c r="D169" s="8">
        <v>33.4223315761765</v>
      </c>
      <c r="E169" s="8">
        <v>38.0948970768257</v>
      </c>
      <c r="F169" s="8">
        <v>39.776466208597</v>
      </c>
    </row>
    <row r="170" spans="1:6">
      <c r="A170" s="7" t="s">
        <v>44</v>
      </c>
      <c r="B170" s="8">
        <v>26.5182656685366</v>
      </c>
      <c r="C170" s="8">
        <v>28.1207002252678</v>
      </c>
      <c r="D170" s="8">
        <v>32.1575871063529</v>
      </c>
      <c r="E170" s="8">
        <v>37.094876129559</v>
      </c>
      <c r="F170" s="8">
        <v>39.2183280379542</v>
      </c>
    </row>
    <row r="171" spans="1:6">
      <c r="A171" s="7" t="s">
        <v>45</v>
      </c>
      <c r="B171" s="8">
        <v>33.5512605216976</v>
      </c>
      <c r="C171" s="8">
        <v>35.1535195209201</v>
      </c>
      <c r="D171" s="8">
        <v>39.5102752614772</v>
      </c>
      <c r="E171" s="8">
        <v>42.5145253518991</v>
      </c>
      <c r="F171" s="8">
        <v>43.4252270492714</v>
      </c>
    </row>
    <row r="172" spans="1:6">
      <c r="A172" s="7" t="s">
        <v>46</v>
      </c>
      <c r="B172" s="8">
        <v>29.1071813231941</v>
      </c>
      <c r="C172" s="8">
        <v>30.6318400558575</v>
      </c>
      <c r="D172" s="8">
        <v>34.675013350201</v>
      </c>
      <c r="E172" s="8">
        <v>38.190467744149</v>
      </c>
      <c r="F172" s="8">
        <v>39.8970756781902</v>
      </c>
    </row>
    <row r="173" spans="1:6">
      <c r="A173" s="7" t="s">
        <v>47</v>
      </c>
      <c r="B173" s="8">
        <v>29.5384907901199</v>
      </c>
      <c r="C173" s="8">
        <v>31.6801219153291</v>
      </c>
      <c r="D173" s="8">
        <v>36.5435364986521</v>
      </c>
      <c r="E173" s="8">
        <v>41.1995787995922</v>
      </c>
      <c r="F173" s="8">
        <v>42.9474788274779</v>
      </c>
    </row>
    <row r="174" spans="1:6">
      <c r="A174" s="7" t="s">
        <v>48</v>
      </c>
      <c r="B174" s="8">
        <v>28.6020906060791</v>
      </c>
      <c r="C174" s="8">
        <v>29.9899850874341</v>
      </c>
      <c r="D174" s="8">
        <v>34.8102976638056</v>
      </c>
      <c r="E174" s="8">
        <v>38.8641882574396</v>
      </c>
      <c r="F174" s="8">
        <v>40.5561777088292</v>
      </c>
    </row>
    <row r="175" spans="1:6">
      <c r="A175" s="7" t="s">
        <v>49</v>
      </c>
      <c r="B175" s="8">
        <v>34.9234820639801</v>
      </c>
      <c r="C175" s="8">
        <v>36.2754290072381</v>
      </c>
      <c r="D175" s="8">
        <v>39.2405686233264</v>
      </c>
      <c r="E175" s="8">
        <v>41.3791757653461</v>
      </c>
      <c r="F175" s="8">
        <v>42.2363966592038</v>
      </c>
    </row>
    <row r="176" spans="1:6">
      <c r="A176" s="13" t="s">
        <v>52</v>
      </c>
      <c r="B176" s="10">
        <f t="shared" ref="B176:F176" si="3">SUM(B135:B175)/41</f>
        <v>30.596437984491</v>
      </c>
      <c r="C176" s="10">
        <f t="shared" si="3"/>
        <v>32.1364287631452</v>
      </c>
      <c r="D176" s="10">
        <f t="shared" si="3"/>
        <v>35.9078430866334</v>
      </c>
      <c r="E176" s="10">
        <f t="shared" si="3"/>
        <v>39.6796388374355</v>
      </c>
      <c r="F176" s="10">
        <f t="shared" si="3"/>
        <v>41.2851728141074</v>
      </c>
    </row>
    <row r="177" ht="15" spans="1:6">
      <c r="A177" s="1" t="s">
        <v>0</v>
      </c>
      <c r="B177" s="2">
        <v>1659.05</v>
      </c>
      <c r="C177" s="3"/>
      <c r="D177" s="3"/>
      <c r="E177" s="3"/>
      <c r="F177" s="3"/>
    </row>
    <row r="178" ht="15.75" spans="1:6">
      <c r="A178" s="4" t="s">
        <v>1</v>
      </c>
      <c r="B178" s="16" t="s">
        <v>2</v>
      </c>
      <c r="C178" s="16" t="s">
        <v>3</v>
      </c>
      <c r="D178" s="16" t="s">
        <v>4</v>
      </c>
      <c r="E178" s="16" t="s">
        <v>5</v>
      </c>
      <c r="F178" s="16" t="s">
        <v>6</v>
      </c>
    </row>
    <row r="179" ht="14.25" spans="1:6">
      <c r="A179" s="2" t="s">
        <v>7</v>
      </c>
      <c r="B179" s="6" t="s">
        <v>8</v>
      </c>
      <c r="C179" s="6" t="s">
        <v>8</v>
      </c>
      <c r="D179" s="6" t="s">
        <v>8</v>
      </c>
      <c r="E179" s="6" t="s">
        <v>8</v>
      </c>
      <c r="F179" s="6" t="s">
        <v>8</v>
      </c>
    </row>
    <row r="180" spans="1:6">
      <c r="A180" s="7" t="s">
        <v>9</v>
      </c>
      <c r="B180" s="15">
        <v>0.0324619205365188</v>
      </c>
      <c r="C180" s="15">
        <v>0.0467873118048764</v>
      </c>
      <c r="D180" s="15">
        <v>0.109021825033635</v>
      </c>
      <c r="E180" s="15">
        <v>0.297082547347457</v>
      </c>
      <c r="F180" s="15">
        <v>0.700526354617834</v>
      </c>
    </row>
    <row r="181" spans="1:6">
      <c r="A181" s="7" t="s">
        <v>10</v>
      </c>
      <c r="B181" s="15">
        <v>0.047144640906894</v>
      </c>
      <c r="C181" s="15">
        <v>0.0731584217578111</v>
      </c>
      <c r="D181" s="15">
        <v>0.193195133674138</v>
      </c>
      <c r="E181" s="15">
        <v>0.489248329977685</v>
      </c>
      <c r="F181" s="15">
        <v>0.725797387742617</v>
      </c>
    </row>
    <row r="182" spans="1:6">
      <c r="A182" s="7" t="s">
        <v>11</v>
      </c>
      <c r="B182" s="15">
        <v>0.0564406521270296</v>
      </c>
      <c r="C182" s="15">
        <v>0.0778574168334028</v>
      </c>
      <c r="D182" s="15">
        <v>0.168091644311907</v>
      </c>
      <c r="E182" s="15">
        <v>0.361017323343666</v>
      </c>
      <c r="F182" s="15">
        <v>0.483012626657845</v>
      </c>
    </row>
    <row r="183" spans="1:6">
      <c r="A183" s="7" t="s">
        <v>12</v>
      </c>
      <c r="B183" s="15">
        <v>0.227218367929196</v>
      </c>
      <c r="C183" s="15">
        <v>0.378133308912253</v>
      </c>
      <c r="D183" s="15">
        <v>0.972740756651943</v>
      </c>
      <c r="E183" s="15">
        <v>1.95176304115596</v>
      </c>
      <c r="F183" s="15">
        <v>2.47345906433332</v>
      </c>
    </row>
    <row r="184" spans="1:6">
      <c r="A184" s="7" t="s">
        <v>13</v>
      </c>
      <c r="B184" s="15">
        <v>0.0283082680781832</v>
      </c>
      <c r="C184" s="15">
        <v>0.0416052352176508</v>
      </c>
      <c r="D184" s="15">
        <v>0.109984370321547</v>
      </c>
      <c r="E184" s="15">
        <v>0.526687003346671</v>
      </c>
      <c r="F184" s="15">
        <v>1.10628651143102</v>
      </c>
    </row>
    <row r="185" spans="1:6">
      <c r="A185" s="7" t="s">
        <v>14</v>
      </c>
      <c r="B185" s="15">
        <v>0.0840253224528924</v>
      </c>
      <c r="C185" s="15">
        <v>0.145177759223391</v>
      </c>
      <c r="D185" s="15">
        <v>0.464929099653621</v>
      </c>
      <c r="E185" s="15">
        <v>1.09316605282272</v>
      </c>
      <c r="F185" s="15">
        <v>1.48403720743279</v>
      </c>
    </row>
    <row r="186" spans="1:6">
      <c r="A186" s="7" t="s">
        <v>15</v>
      </c>
      <c r="B186" s="15">
        <v>0.106544153501733</v>
      </c>
      <c r="C186" s="15">
        <v>0.154248989389731</v>
      </c>
      <c r="D186" s="15">
        <v>0.360144360193505</v>
      </c>
      <c r="E186" s="15">
        <v>0.734313355495675</v>
      </c>
      <c r="F186" s="15">
        <v>1.08487855104495</v>
      </c>
    </row>
    <row r="187" spans="1:6">
      <c r="A187" s="7" t="s">
        <v>16</v>
      </c>
      <c r="B187" s="15">
        <v>0.0815842783675552</v>
      </c>
      <c r="C187" s="15">
        <v>0.145749583248144</v>
      </c>
      <c r="D187" s="15">
        <v>0.457134317945784</v>
      </c>
      <c r="E187" s="15">
        <v>1.10228424949022</v>
      </c>
      <c r="F187" s="15">
        <v>1.41870191960046</v>
      </c>
    </row>
    <row r="188" spans="1:6">
      <c r="A188" s="7" t="s">
        <v>17</v>
      </c>
      <c r="B188" s="15">
        <v>0.019499039852663</v>
      </c>
      <c r="C188" s="15">
        <v>0.0329574762076577</v>
      </c>
      <c r="D188" s="15">
        <v>0.0969597367734155</v>
      </c>
      <c r="E188" s="15">
        <v>0.770396141444935</v>
      </c>
      <c r="F188" s="15">
        <v>1.25331982468967</v>
      </c>
    </row>
    <row r="189" spans="1:6">
      <c r="A189" s="7" t="s">
        <v>18</v>
      </c>
      <c r="B189" s="15">
        <v>0.103078745888382</v>
      </c>
      <c r="C189" s="15">
        <v>0.149773191544994</v>
      </c>
      <c r="D189" s="15">
        <v>0.365974083427176</v>
      </c>
      <c r="E189" s="15">
        <v>0.775557487621739</v>
      </c>
      <c r="F189" s="15">
        <v>1.06444840214757</v>
      </c>
    </row>
    <row r="190" spans="1:6">
      <c r="A190" s="7" t="s">
        <v>19</v>
      </c>
      <c r="B190" s="15">
        <v>0.120459619277814</v>
      </c>
      <c r="C190" s="15">
        <v>0.198208294177154</v>
      </c>
      <c r="D190" s="15">
        <v>0.552240332888165</v>
      </c>
      <c r="E190" s="15">
        <v>1.2553456270338</v>
      </c>
      <c r="F190" s="15">
        <v>1.77186573233614</v>
      </c>
    </row>
    <row r="191" spans="1:6">
      <c r="A191" s="7" t="s">
        <v>20</v>
      </c>
      <c r="B191" s="15">
        <v>0.0469598341624806</v>
      </c>
      <c r="C191" s="15">
        <v>0.0722159952748189</v>
      </c>
      <c r="D191" s="15">
        <v>0.198343563348389</v>
      </c>
      <c r="E191" s="15">
        <v>0.513707816589958</v>
      </c>
      <c r="F191" s="15">
        <v>0.670052031044251</v>
      </c>
    </row>
    <row r="192" spans="1:6">
      <c r="A192" s="7" t="s">
        <v>21</v>
      </c>
      <c r="B192" s="15">
        <v>0.0943503684244379</v>
      </c>
      <c r="C192" s="15">
        <v>0.134049478161267</v>
      </c>
      <c r="D192" s="15">
        <v>0.311477935115926</v>
      </c>
      <c r="E192" s="15">
        <v>0.602450743026219</v>
      </c>
      <c r="F192" s="15">
        <v>0.790260599169068</v>
      </c>
    </row>
    <row r="193" spans="1:6">
      <c r="A193" s="7" t="s">
        <v>22</v>
      </c>
      <c r="B193" s="15">
        <v>0.0485496892012341</v>
      </c>
      <c r="C193" s="15">
        <v>0.0712509982637747</v>
      </c>
      <c r="D193" s="15">
        <v>0.15358456115943</v>
      </c>
      <c r="E193" s="15">
        <v>0.348229383432833</v>
      </c>
      <c r="F193" s="15">
        <v>0.605316779890625</v>
      </c>
    </row>
    <row r="194" spans="1:6">
      <c r="A194" s="7" t="s">
        <v>23</v>
      </c>
      <c r="B194" s="15">
        <v>0.10615377360343</v>
      </c>
      <c r="C194" s="15">
        <v>0.17513686976715</v>
      </c>
      <c r="D194" s="15">
        <v>0.51227906997635</v>
      </c>
      <c r="E194" s="15">
        <v>1.14170360098912</v>
      </c>
      <c r="F194" s="15">
        <v>1.54836329677461</v>
      </c>
    </row>
    <row r="195" spans="1:6">
      <c r="A195" s="7" t="s">
        <v>24</v>
      </c>
      <c r="B195" s="15">
        <v>0.0398500200200675</v>
      </c>
      <c r="C195" s="15">
        <v>0.0622654868595152</v>
      </c>
      <c r="D195" s="15">
        <v>0.16258621093145</v>
      </c>
      <c r="E195" s="15">
        <v>0.423377356196552</v>
      </c>
      <c r="F195" s="15">
        <v>0.613560791297614</v>
      </c>
    </row>
    <row r="196" spans="1:6">
      <c r="A196" s="7" t="s">
        <v>25</v>
      </c>
      <c r="B196" s="15">
        <v>0.0375301449764315</v>
      </c>
      <c r="C196" s="15">
        <v>0.0582783253136817</v>
      </c>
      <c r="D196" s="15">
        <v>0.132737238259965</v>
      </c>
      <c r="E196" s="15">
        <v>0.268980720845962</v>
      </c>
      <c r="F196" s="15">
        <v>0.293682631405049</v>
      </c>
    </row>
    <row r="197" spans="1:6">
      <c r="A197" s="7" t="s">
        <v>26</v>
      </c>
      <c r="B197" s="15">
        <v>0.0972767477689792</v>
      </c>
      <c r="C197" s="15">
        <v>0.134057207109641</v>
      </c>
      <c r="D197" s="15">
        <v>0.277515084559332</v>
      </c>
      <c r="E197" s="15">
        <v>0.566388936324279</v>
      </c>
      <c r="F197" s="15">
        <v>0.718558908982436</v>
      </c>
    </row>
    <row r="198" spans="1:6">
      <c r="A198" s="7" t="s">
        <v>27</v>
      </c>
      <c r="B198" s="15">
        <v>0.107991449708463</v>
      </c>
      <c r="C198" s="15">
        <v>0.195293082097889</v>
      </c>
      <c r="D198" s="15">
        <v>0.649620356211782</v>
      </c>
      <c r="E198" s="15">
        <v>1.50153557507914</v>
      </c>
      <c r="F198" s="15">
        <v>1.90454573248174</v>
      </c>
    </row>
    <row r="199" spans="1:6">
      <c r="A199" s="7" t="s">
        <v>28</v>
      </c>
      <c r="B199" s="15">
        <v>0.0189299660424391</v>
      </c>
      <c r="C199" s="15">
        <v>0.0292598458627859</v>
      </c>
      <c r="D199" s="15">
        <v>0.0868391820850471</v>
      </c>
      <c r="E199" s="15">
        <v>0.222869560370842</v>
      </c>
      <c r="F199" s="15">
        <v>0.306825650172928</v>
      </c>
    </row>
    <row r="200" spans="1:6">
      <c r="A200" s="7" t="s">
        <v>29</v>
      </c>
      <c r="B200" s="15">
        <v>0.0244636134070518</v>
      </c>
      <c r="C200" s="15">
        <v>0.0421940371220174</v>
      </c>
      <c r="D200" s="15">
        <v>0.14485002717126</v>
      </c>
      <c r="E200" s="15">
        <v>0.70257215703029</v>
      </c>
      <c r="F200" s="15">
        <v>1.17558229703578</v>
      </c>
    </row>
    <row r="201" spans="1:6">
      <c r="A201" s="7" t="s">
        <v>30</v>
      </c>
      <c r="B201" s="15">
        <v>0.174838337699572</v>
      </c>
      <c r="C201" s="15">
        <v>0.306290786365668</v>
      </c>
      <c r="D201" s="15">
        <v>1.04726744222144</v>
      </c>
      <c r="E201" s="15">
        <v>2.14495585451523</v>
      </c>
      <c r="F201" s="15">
        <v>2.6805855945001</v>
      </c>
    </row>
    <row r="202" spans="1:6">
      <c r="A202" s="7" t="s">
        <v>31</v>
      </c>
      <c r="B202" s="15">
        <v>0.05397982943305</v>
      </c>
      <c r="C202" s="15">
        <v>0.0918997507678829</v>
      </c>
      <c r="D202" s="15">
        <v>0.306658437954869</v>
      </c>
      <c r="E202" s="15">
        <v>0.749627372263606</v>
      </c>
      <c r="F202" s="15">
        <v>1.01762166387834</v>
      </c>
    </row>
    <row r="203" spans="1:6">
      <c r="A203" s="7" t="s">
        <v>32</v>
      </c>
      <c r="B203" s="15">
        <v>0.0764271873165426</v>
      </c>
      <c r="C203" s="15">
        <v>0.130390258051878</v>
      </c>
      <c r="D203" s="15">
        <v>0.33351842780826</v>
      </c>
      <c r="E203" s="15">
        <v>0.730537736799991</v>
      </c>
      <c r="F203" s="15">
        <v>0.95103417477799</v>
      </c>
    </row>
    <row r="204" spans="1:6">
      <c r="A204" s="7" t="s">
        <v>33</v>
      </c>
      <c r="B204" s="15">
        <v>0.112016524993529</v>
      </c>
      <c r="C204" s="15">
        <v>0.154605756387761</v>
      </c>
      <c r="D204" s="15">
        <v>0.3707872730351</v>
      </c>
      <c r="E204" s="15">
        <v>0.812874415763369</v>
      </c>
      <c r="F204" s="15">
        <v>1.15276918733929</v>
      </c>
    </row>
    <row r="205" spans="1:6">
      <c r="A205" s="7" t="s">
        <v>34</v>
      </c>
      <c r="B205" s="15">
        <v>0.0338698394782704</v>
      </c>
      <c r="C205" s="15">
        <v>0.0516923800762606</v>
      </c>
      <c r="D205" s="15">
        <v>0.141163239693255</v>
      </c>
      <c r="E205" s="15">
        <v>0.348403473356725</v>
      </c>
      <c r="F205" s="15">
        <v>0.512234568567932</v>
      </c>
    </row>
    <row r="206" spans="1:6">
      <c r="A206" s="7" t="s">
        <v>35</v>
      </c>
      <c r="B206" s="15">
        <v>0.293468094314499</v>
      </c>
      <c r="C206" s="15">
        <v>0.459922836045786</v>
      </c>
      <c r="D206" s="15">
        <v>0.926512325997515</v>
      </c>
      <c r="E206" s="15">
        <v>1.51831730909185</v>
      </c>
      <c r="F206" s="15">
        <v>1.82259199291007</v>
      </c>
    </row>
    <row r="207" spans="1:6">
      <c r="A207" s="7" t="s">
        <v>36</v>
      </c>
      <c r="B207" s="15">
        <v>0.103859491462156</v>
      </c>
      <c r="C207" s="15">
        <v>0.177465404665365</v>
      </c>
      <c r="D207" s="15">
        <v>0.55524025792469</v>
      </c>
      <c r="E207" s="15">
        <v>1.23628155263353</v>
      </c>
      <c r="F207" s="15">
        <v>1.63196441652466</v>
      </c>
    </row>
    <row r="208" spans="1:6">
      <c r="A208" s="7" t="s">
        <v>37</v>
      </c>
      <c r="B208" s="15">
        <v>0.145246484764472</v>
      </c>
      <c r="C208" s="15">
        <v>0.263180895224765</v>
      </c>
      <c r="D208" s="15">
        <v>0.744108913913921</v>
      </c>
      <c r="E208" s="15">
        <v>1.52815849565024</v>
      </c>
      <c r="F208" s="15">
        <v>1.95026513978894</v>
      </c>
    </row>
    <row r="209" spans="1:6">
      <c r="A209" s="7" t="s">
        <v>38</v>
      </c>
      <c r="B209" s="15">
        <v>0.0291448185278355</v>
      </c>
      <c r="C209" s="15">
        <v>0.0437919326184569</v>
      </c>
      <c r="D209" s="15">
        <v>0.146046907739925</v>
      </c>
      <c r="E209" s="15">
        <v>0.340655323216903</v>
      </c>
      <c r="F209" s="15">
        <v>0.489709797414231</v>
      </c>
    </row>
    <row r="210" spans="1:6">
      <c r="A210" s="7" t="s">
        <v>39</v>
      </c>
      <c r="B210" s="15">
        <v>0.0781712681055069</v>
      </c>
      <c r="C210" s="15">
        <v>0.105710744857788</v>
      </c>
      <c r="D210" s="15">
        <v>0.220284469425678</v>
      </c>
      <c r="E210" s="15">
        <v>0.481970950961113</v>
      </c>
      <c r="F210" s="15">
        <v>0.664801344275474</v>
      </c>
    </row>
    <row r="211" spans="1:6">
      <c r="A211" s="7" t="s">
        <v>40</v>
      </c>
      <c r="B211" s="15">
        <v>0.0661295036607909</v>
      </c>
      <c r="C211" s="15">
        <v>0.10169652279555</v>
      </c>
      <c r="D211" s="15">
        <v>0.278932202496521</v>
      </c>
      <c r="E211" s="15">
        <v>0.573418239020698</v>
      </c>
      <c r="F211" s="15">
        <v>0.810704899142451</v>
      </c>
    </row>
    <row r="212" spans="1:6">
      <c r="A212" s="7" t="s">
        <v>41</v>
      </c>
      <c r="B212" s="15">
        <v>0.0278914788478383</v>
      </c>
      <c r="C212" s="15">
        <v>0.0402604689562091</v>
      </c>
      <c r="D212" s="15">
        <v>0.0940133178347119</v>
      </c>
      <c r="E212" s="15">
        <v>0.216894074224061</v>
      </c>
      <c r="F212" s="15">
        <v>0.302477475136644</v>
      </c>
    </row>
    <row r="213" spans="1:6">
      <c r="A213" s="7" t="s">
        <v>42</v>
      </c>
      <c r="B213" s="15">
        <v>0.0799174094269489</v>
      </c>
      <c r="C213" s="15">
        <v>0.138638745031735</v>
      </c>
      <c r="D213" s="15">
        <v>0.46363082338818</v>
      </c>
      <c r="E213" s="15">
        <v>0.993435372568151</v>
      </c>
      <c r="F213" s="15">
        <v>1.24992230391823</v>
      </c>
    </row>
    <row r="214" spans="1:6">
      <c r="A214" s="7" t="s">
        <v>43</v>
      </c>
      <c r="B214" s="15">
        <v>0.157890733910321</v>
      </c>
      <c r="C214" s="15">
        <v>0.248180986960946</v>
      </c>
      <c r="D214" s="15">
        <v>0.605635515061735</v>
      </c>
      <c r="E214" s="15">
        <v>1.32036833150458</v>
      </c>
      <c r="F214" s="15">
        <v>1.70357854722213</v>
      </c>
    </row>
    <row r="215" spans="1:6">
      <c r="A215" s="7" t="s">
        <v>44</v>
      </c>
      <c r="B215" s="15">
        <v>0.133248798367483</v>
      </c>
      <c r="C215" s="15">
        <v>0.224996259254319</v>
      </c>
      <c r="D215" s="15">
        <v>0.619734192085368</v>
      </c>
      <c r="E215" s="15">
        <v>1.55783650819669</v>
      </c>
      <c r="F215" s="15">
        <v>2.12424462829242</v>
      </c>
    </row>
    <row r="216" spans="1:6">
      <c r="A216" s="7" t="s">
        <v>45</v>
      </c>
      <c r="B216" s="15">
        <v>0.0429774516551518</v>
      </c>
      <c r="C216" s="15">
        <v>0.0638551300680959</v>
      </c>
      <c r="D216" s="15">
        <v>0.157150723348441</v>
      </c>
      <c r="E216" s="15">
        <v>0.314178757212194</v>
      </c>
      <c r="F216" s="15">
        <v>0.407480225741001</v>
      </c>
    </row>
    <row r="217" spans="1:6">
      <c r="A217" s="7" t="s">
        <v>46</v>
      </c>
      <c r="B217" s="15">
        <v>0.127697296620593</v>
      </c>
      <c r="C217" s="15">
        <v>0.189218597200945</v>
      </c>
      <c r="D217" s="15">
        <v>0.466011815884397</v>
      </c>
      <c r="E217" s="15">
        <v>0.98173000308989</v>
      </c>
      <c r="F217" s="15">
        <v>1.44858468435077</v>
      </c>
    </row>
    <row r="218" spans="1:6">
      <c r="A218" s="7" t="s">
        <v>47</v>
      </c>
      <c r="B218" s="15">
        <v>0.139494834686626</v>
      </c>
      <c r="C218" s="15">
        <v>0.208518401007165</v>
      </c>
      <c r="D218" s="15">
        <v>0.534576957332898</v>
      </c>
      <c r="E218" s="15">
        <v>0.91648530702572</v>
      </c>
      <c r="F218" s="15">
        <v>1.13623760895337</v>
      </c>
    </row>
    <row r="219" spans="1:6">
      <c r="A219" s="7" t="s">
        <v>48</v>
      </c>
      <c r="B219" s="15">
        <v>0.107399156609249</v>
      </c>
      <c r="C219" s="15">
        <v>0.170908461617004</v>
      </c>
      <c r="D219" s="15">
        <v>0.49465966347016</v>
      </c>
      <c r="E219" s="15">
        <v>1.01925627543933</v>
      </c>
      <c r="F219" s="15">
        <v>1.3038379245565</v>
      </c>
    </row>
    <row r="220" spans="1:6">
      <c r="A220" s="7" t="s">
        <v>49</v>
      </c>
      <c r="B220" s="15">
        <v>0.0447507288695855</v>
      </c>
      <c r="C220" s="15">
        <v>0.0590713114866598</v>
      </c>
      <c r="D220" s="15">
        <v>0.144805466050056</v>
      </c>
      <c r="E220" s="15">
        <v>0.288726713267861</v>
      </c>
      <c r="F220" s="15">
        <v>0.427454423384515</v>
      </c>
    </row>
    <row r="221" spans="1:6">
      <c r="A221" s="9" t="s">
        <v>50</v>
      </c>
      <c r="B221" s="10">
        <f t="shared" ref="B221:F221" si="4">SUM(B180:B220)/41</f>
        <v>0.0867619484142414</v>
      </c>
      <c r="C221" s="10">
        <f t="shared" si="4"/>
        <v>0.137754974233899</v>
      </c>
      <c r="D221" s="10">
        <f t="shared" si="4"/>
        <v>0.36904846981368</v>
      </c>
      <c r="E221" s="10">
        <f t="shared" si="4"/>
        <v>0.822507050604084</v>
      </c>
      <c r="F221" s="10">
        <f t="shared" si="4"/>
        <v>1.12149226587716</v>
      </c>
    </row>
    <row r="222" spans="1:6">
      <c r="A222" s="2" t="s">
        <v>7</v>
      </c>
      <c r="B222" s="11" t="s">
        <v>51</v>
      </c>
      <c r="C222" s="12" t="s">
        <v>51</v>
      </c>
      <c r="D222" s="11" t="s">
        <v>51</v>
      </c>
      <c r="E222" s="11" t="s">
        <v>51</v>
      </c>
      <c r="F222" s="11" t="s">
        <v>51</v>
      </c>
    </row>
    <row r="223" spans="1:6">
      <c r="A223" s="7" t="s">
        <v>9</v>
      </c>
      <c r="B223" s="15">
        <v>33.9481056268126</v>
      </c>
      <c r="C223" s="15">
        <v>34.8382468950239</v>
      </c>
      <c r="D223" s="15">
        <v>36.3148224788397</v>
      </c>
      <c r="E223" s="15">
        <v>37.5838114986447</v>
      </c>
      <c r="F223" s="15">
        <v>39.0770675144865</v>
      </c>
    </row>
    <row r="224" spans="1:6">
      <c r="A224" s="7" t="s">
        <v>10</v>
      </c>
      <c r="B224" s="15">
        <v>31.8165064444518</v>
      </c>
      <c r="C224" s="15">
        <v>33.307068246124</v>
      </c>
      <c r="D224" s="15">
        <v>36.719222665969</v>
      </c>
      <c r="E224" s="15">
        <v>39.9811011158748</v>
      </c>
      <c r="F224" s="15">
        <v>41.43332323623</v>
      </c>
    </row>
    <row r="225" spans="1:6">
      <c r="A225" s="7" t="s">
        <v>11</v>
      </c>
      <c r="B225" s="15">
        <v>33.8943796792211</v>
      </c>
      <c r="C225" s="15">
        <v>35.5033940159866</v>
      </c>
      <c r="D225" s="15">
        <v>38.8575310973515</v>
      </c>
      <c r="E225" s="15">
        <v>41.5560451252174</v>
      </c>
      <c r="F225" s="15">
        <v>42.5527349564719</v>
      </c>
    </row>
    <row r="226" spans="1:6">
      <c r="A226" s="7" t="s">
        <v>12</v>
      </c>
      <c r="B226" s="15">
        <v>25.0724157123623</v>
      </c>
      <c r="C226" s="15">
        <v>27.1583390813221</v>
      </c>
      <c r="D226" s="15">
        <v>32.0582814045636</v>
      </c>
      <c r="E226" s="15">
        <v>36.999516434025</v>
      </c>
      <c r="F226" s="15">
        <v>38.8498476828203</v>
      </c>
    </row>
    <row r="227" spans="1:6">
      <c r="A227" s="7" t="s">
        <v>13</v>
      </c>
      <c r="B227" s="15">
        <v>32.8997227423435</v>
      </c>
      <c r="C227" s="15">
        <v>33.6066721175657</v>
      </c>
      <c r="D227" s="15">
        <v>34.9521922732661</v>
      </c>
      <c r="E227" s="15">
        <v>37.4929562305837</v>
      </c>
      <c r="F227" s="15">
        <v>40.0766451997289</v>
      </c>
    </row>
    <row r="228" spans="1:6">
      <c r="A228" s="7" t="s">
        <v>14</v>
      </c>
      <c r="B228" s="15">
        <v>28.5734613693291</v>
      </c>
      <c r="C228" s="15">
        <v>30.0605948173581</v>
      </c>
      <c r="D228" s="15">
        <v>34.2552010165103</v>
      </c>
      <c r="E228" s="15">
        <v>39.3262987814432</v>
      </c>
      <c r="F228" s="15">
        <v>41.3995773628236</v>
      </c>
    </row>
    <row r="229" spans="1:6">
      <c r="A229" s="7" t="s">
        <v>15</v>
      </c>
      <c r="B229" s="15">
        <v>29.8096798107616</v>
      </c>
      <c r="C229" s="15">
        <v>31.5542517407367</v>
      </c>
      <c r="D229" s="15">
        <v>35.7751936254382</v>
      </c>
      <c r="E229" s="15">
        <v>39.4968512025953</v>
      </c>
      <c r="F229" s="15">
        <v>41.0289986595472</v>
      </c>
    </row>
    <row r="230" spans="1:6">
      <c r="A230" s="7" t="s">
        <v>16</v>
      </c>
      <c r="B230" s="15">
        <v>28.3058248223557</v>
      </c>
      <c r="C230" s="15">
        <v>29.9696139858836</v>
      </c>
      <c r="D230" s="15">
        <v>34.1602736035827</v>
      </c>
      <c r="E230" s="15">
        <v>38.9437539373618</v>
      </c>
      <c r="F230" s="15">
        <v>40.5725133401102</v>
      </c>
    </row>
    <row r="231" spans="1:6">
      <c r="A231" s="7" t="s">
        <v>17</v>
      </c>
      <c r="B231" s="15">
        <v>32.3366332649165</v>
      </c>
      <c r="C231" s="15">
        <v>33.0169360748904</v>
      </c>
      <c r="D231" s="15">
        <v>34.1800219132354</v>
      </c>
      <c r="E231" s="15">
        <v>38.0803986313723</v>
      </c>
      <c r="F231" s="15">
        <v>40.6041588156376</v>
      </c>
    </row>
    <row r="232" spans="1:6">
      <c r="A232" s="7" t="s">
        <v>18</v>
      </c>
      <c r="B232" s="15">
        <v>30.0392400792469</v>
      </c>
      <c r="C232" s="15">
        <v>31.6815774621598</v>
      </c>
      <c r="D232" s="15">
        <v>35.7836791874096</v>
      </c>
      <c r="E232" s="15">
        <v>39.3617359617023</v>
      </c>
      <c r="F232" s="15">
        <v>40.7923054806591</v>
      </c>
    </row>
    <row r="233" spans="1:6">
      <c r="A233" s="7" t="s">
        <v>19</v>
      </c>
      <c r="B233" s="15">
        <v>27.4049075756445</v>
      </c>
      <c r="C233" s="15">
        <v>28.8854470597119</v>
      </c>
      <c r="D233" s="15">
        <v>33.2494576026963</v>
      </c>
      <c r="E233" s="15">
        <v>37.6079491726967</v>
      </c>
      <c r="F233" s="15">
        <v>39.5716265130811</v>
      </c>
    </row>
    <row r="234" spans="1:6">
      <c r="A234" s="7" t="s">
        <v>20</v>
      </c>
      <c r="B234" s="15">
        <v>32.1495028336064</v>
      </c>
      <c r="C234" s="15">
        <v>33.7597244827032</v>
      </c>
      <c r="D234" s="15">
        <v>37.2412064811865</v>
      </c>
      <c r="E234" s="15">
        <v>41.0427249494698</v>
      </c>
      <c r="F234" s="15">
        <v>42.5808240283095</v>
      </c>
    </row>
    <row r="235" spans="1:6">
      <c r="A235" s="7" t="s">
        <v>21</v>
      </c>
      <c r="B235" s="15">
        <v>30.8915899016769</v>
      </c>
      <c r="C235" s="15">
        <v>32.4696954985867</v>
      </c>
      <c r="D235" s="15">
        <v>37.1906667130347</v>
      </c>
      <c r="E235" s="15">
        <v>41.0641334171282</v>
      </c>
      <c r="F235" s="15">
        <v>42.3549696990186</v>
      </c>
    </row>
    <row r="236" spans="1:6">
      <c r="A236" s="7" t="s">
        <v>22</v>
      </c>
      <c r="B236" s="15">
        <v>33.0401100184476</v>
      </c>
      <c r="C236" s="15">
        <v>34.4507803653019</v>
      </c>
      <c r="D236" s="15">
        <v>37.1300050293797</v>
      </c>
      <c r="E236" s="15">
        <v>39.0491166417323</v>
      </c>
      <c r="F236" s="15">
        <v>40.383713424112</v>
      </c>
    </row>
    <row r="237" spans="1:6">
      <c r="A237" s="7" t="s">
        <v>23</v>
      </c>
      <c r="B237" s="15">
        <v>28.1135928615697</v>
      </c>
      <c r="C237" s="15">
        <v>29.5978499589403</v>
      </c>
      <c r="D237" s="15">
        <v>34.0675328659132</v>
      </c>
      <c r="E237" s="15">
        <v>38.3708136393666</v>
      </c>
      <c r="F237" s="15">
        <v>40.4054075518954</v>
      </c>
    </row>
    <row r="238" spans="1:6">
      <c r="A238" s="7" t="s">
        <v>24</v>
      </c>
      <c r="B238" s="15">
        <v>32.7263038921965</v>
      </c>
      <c r="C238" s="15">
        <v>34.0543950615884</v>
      </c>
      <c r="D238" s="15">
        <v>36.964801121872</v>
      </c>
      <c r="E238" s="15">
        <v>39.9061357621133</v>
      </c>
      <c r="F238" s="15">
        <v>41.0910048767235</v>
      </c>
    </row>
    <row r="239" spans="1:6">
      <c r="A239" s="7" t="s">
        <v>25</v>
      </c>
      <c r="B239" s="15">
        <v>35.9999029148952</v>
      </c>
      <c r="C239" s="15">
        <v>38.0447675500081</v>
      </c>
      <c r="D239" s="15">
        <v>41.2435246437698</v>
      </c>
      <c r="E239" s="15">
        <v>43.5740917790838</v>
      </c>
      <c r="F239" s="15">
        <v>44.8448291710619</v>
      </c>
    </row>
    <row r="240" spans="1:6">
      <c r="A240" s="7" t="s">
        <v>26</v>
      </c>
      <c r="B240" s="15">
        <v>32.2662001340769</v>
      </c>
      <c r="C240" s="15">
        <v>34.0654360348756</v>
      </c>
      <c r="D240" s="15">
        <v>37.7341689157749</v>
      </c>
      <c r="E240" s="15">
        <v>41.1353617252625</v>
      </c>
      <c r="F240" s="15">
        <v>42.3753023174222</v>
      </c>
    </row>
    <row r="241" spans="1:6">
      <c r="A241" s="7" t="s">
        <v>27</v>
      </c>
      <c r="B241" s="15">
        <v>26.2422180159045</v>
      </c>
      <c r="C241" s="15">
        <v>28.0437091386388</v>
      </c>
      <c r="D241" s="15">
        <v>33.0726675013638</v>
      </c>
      <c r="E241" s="15">
        <v>38.2295703046392</v>
      </c>
      <c r="F241" s="15">
        <v>40.1282686561305</v>
      </c>
    </row>
    <row r="242" spans="1:6">
      <c r="A242" s="7" t="s">
        <v>28</v>
      </c>
      <c r="B242" s="15">
        <v>35.8330398420266</v>
      </c>
      <c r="C242" s="15">
        <v>36.9025136004897</v>
      </c>
      <c r="D242" s="15">
        <v>39.9261761087863</v>
      </c>
      <c r="E242" s="15">
        <v>43.236281409529</v>
      </c>
      <c r="F242" s="15">
        <v>44.364400274157</v>
      </c>
    </row>
    <row r="243" spans="1:6">
      <c r="A243" s="7" t="s">
        <v>29</v>
      </c>
      <c r="B243" s="15">
        <v>31.5903921475132</v>
      </c>
      <c r="C243" s="15">
        <v>32.5688203651108</v>
      </c>
      <c r="D243" s="15">
        <v>34.5292202282556</v>
      </c>
      <c r="E243" s="15">
        <v>39.0600079842316</v>
      </c>
      <c r="F243" s="15">
        <v>41.4381055186081</v>
      </c>
    </row>
    <row r="244" spans="1:6">
      <c r="A244" s="7" t="s">
        <v>30</v>
      </c>
      <c r="B244" s="15">
        <v>24.9225049302513</v>
      </c>
      <c r="C244" s="15">
        <v>26.4173706493378</v>
      </c>
      <c r="D244" s="15">
        <v>31.7828867756197</v>
      </c>
      <c r="E244" s="15">
        <v>37.5276232527591</v>
      </c>
      <c r="F244" s="15">
        <v>39.7232593434967</v>
      </c>
    </row>
    <row r="245" spans="1:6">
      <c r="A245" s="7" t="s">
        <v>31</v>
      </c>
      <c r="B245" s="15">
        <v>30.2124709217656</v>
      </c>
      <c r="C245" s="15">
        <v>31.5113456291649</v>
      </c>
      <c r="D245" s="15">
        <v>35.3093083653189</v>
      </c>
      <c r="E245" s="15">
        <v>39.315295037279</v>
      </c>
      <c r="F245" s="15">
        <v>40.7745512868549</v>
      </c>
    </row>
    <row r="246" spans="1:6">
      <c r="A246" s="7" t="s">
        <v>32</v>
      </c>
      <c r="B246" s="15">
        <v>30.0186828750485</v>
      </c>
      <c r="C246" s="15">
        <v>31.8105040583349</v>
      </c>
      <c r="D246" s="15">
        <v>36.1515031434055</v>
      </c>
      <c r="E246" s="15">
        <v>40.0474321422013</v>
      </c>
      <c r="F246" s="15">
        <v>41.3861669630734</v>
      </c>
    </row>
    <row r="247" spans="1:6">
      <c r="A247" s="7" t="s">
        <v>33</v>
      </c>
      <c r="B247" s="15">
        <v>29.9946181405198</v>
      </c>
      <c r="C247" s="15">
        <v>31.5014860479758</v>
      </c>
      <c r="D247" s="15">
        <v>35.1156504256221</v>
      </c>
      <c r="E247" s="15">
        <v>39.2969232160509</v>
      </c>
      <c r="F247" s="15">
        <v>41.2581666688659</v>
      </c>
    </row>
    <row r="248" spans="1:6">
      <c r="A248" s="7" t="s">
        <v>34</v>
      </c>
      <c r="B248" s="15">
        <v>33.5110583368524</v>
      </c>
      <c r="C248" s="15">
        <v>34.9462861902731</v>
      </c>
      <c r="D248" s="15">
        <v>37.9834160805148</v>
      </c>
      <c r="E248" s="15">
        <v>40.8596532558996</v>
      </c>
      <c r="F248" s="15">
        <v>41.9712415178707</v>
      </c>
    </row>
    <row r="249" spans="1:6">
      <c r="A249" s="7" t="s">
        <v>35</v>
      </c>
      <c r="B249" s="15">
        <v>26.1993226333358</v>
      </c>
      <c r="C249" s="15">
        <v>28.894075314743</v>
      </c>
      <c r="D249" s="15">
        <v>34.726649925976</v>
      </c>
      <c r="E249" s="15">
        <v>39.8993626245408</v>
      </c>
      <c r="F249" s="15">
        <v>41.5852513860507</v>
      </c>
    </row>
    <row r="250" spans="1:6">
      <c r="A250" s="7" t="s">
        <v>36</v>
      </c>
      <c r="B250" s="15">
        <v>27.6352647616517</v>
      </c>
      <c r="C250" s="15">
        <v>29.1531011668629</v>
      </c>
      <c r="D250" s="15">
        <v>33.7228997109064</v>
      </c>
      <c r="E250" s="15">
        <v>38.4246560695895</v>
      </c>
      <c r="F250" s="15">
        <v>40.043970885354</v>
      </c>
    </row>
    <row r="251" spans="1:6">
      <c r="A251" s="7" t="s">
        <v>37</v>
      </c>
      <c r="B251" s="15">
        <v>26.369481342955</v>
      </c>
      <c r="C251" s="15">
        <v>28.2173642095663</v>
      </c>
      <c r="D251" s="15">
        <v>32.9670566536461</v>
      </c>
      <c r="E251" s="15">
        <v>37.5934659445774</v>
      </c>
      <c r="F251" s="15">
        <v>39.0895130840457</v>
      </c>
    </row>
    <row r="252" spans="1:6">
      <c r="A252" s="7" t="s">
        <v>38</v>
      </c>
      <c r="B252" s="15">
        <v>34.4467113275242</v>
      </c>
      <c r="C252" s="15">
        <v>35.6247785540289</v>
      </c>
      <c r="D252" s="15">
        <v>38.177358267553</v>
      </c>
      <c r="E252" s="15">
        <v>40.9763404867663</v>
      </c>
      <c r="F252" s="15">
        <v>42.1679657555589</v>
      </c>
    </row>
    <row r="253" spans="1:6">
      <c r="A253" s="7" t="s">
        <v>39</v>
      </c>
      <c r="B253" s="15">
        <v>32.5009982659999</v>
      </c>
      <c r="C253" s="15">
        <v>34.2387690977948</v>
      </c>
      <c r="D253" s="15">
        <v>37.7080253242122</v>
      </c>
      <c r="E253" s="15">
        <v>41.3073491278867</v>
      </c>
      <c r="F253" s="15">
        <v>42.8216749845521</v>
      </c>
    </row>
    <row r="254" spans="1:6">
      <c r="A254" s="7" t="s">
        <v>40</v>
      </c>
      <c r="B254" s="15">
        <v>31.0756953865591</v>
      </c>
      <c r="C254" s="15">
        <v>32.6705921192279</v>
      </c>
      <c r="D254" s="15">
        <v>37.1256459882336</v>
      </c>
      <c r="E254" s="15">
        <v>40.8907976747715</v>
      </c>
      <c r="F254" s="15">
        <v>42.3168148296879</v>
      </c>
    </row>
    <row r="255" spans="1:6">
      <c r="A255" s="7" t="s">
        <v>41</v>
      </c>
      <c r="B255" s="15">
        <v>35.5539293479194</v>
      </c>
      <c r="C255" s="15">
        <v>36.9357175915565</v>
      </c>
      <c r="D255" s="15">
        <v>40.1761379224152</v>
      </c>
      <c r="E255" s="15">
        <v>42.2086388144411</v>
      </c>
      <c r="F255" s="15">
        <v>43.0341201980753</v>
      </c>
    </row>
    <row r="256" spans="1:6">
      <c r="A256" s="7" t="s">
        <v>42</v>
      </c>
      <c r="B256" s="15">
        <v>28.6008170455134</v>
      </c>
      <c r="C256" s="15">
        <v>30.1006678667017</v>
      </c>
      <c r="D256" s="15">
        <v>34.8669147806833</v>
      </c>
      <c r="E256" s="15">
        <v>39.9922570252805</v>
      </c>
      <c r="F256" s="15">
        <v>41.894238138516</v>
      </c>
    </row>
    <row r="257" spans="1:6">
      <c r="A257" s="7" t="s">
        <v>43</v>
      </c>
      <c r="B257" s="15">
        <v>27.3092078019772</v>
      </c>
      <c r="C257" s="15">
        <v>29.0207084136714</v>
      </c>
      <c r="D257" s="15">
        <v>33.3050367961729</v>
      </c>
      <c r="E257" s="15">
        <v>37.9317741163925</v>
      </c>
      <c r="F257" s="15">
        <v>39.6835892587378</v>
      </c>
    </row>
    <row r="258" spans="1:6">
      <c r="A258" s="7" t="s">
        <v>44</v>
      </c>
      <c r="B258" s="15">
        <v>26.5182656685366</v>
      </c>
      <c r="C258" s="15">
        <v>28.1207002252678</v>
      </c>
      <c r="D258" s="15">
        <v>32.1188460651994</v>
      </c>
      <c r="E258" s="15">
        <v>37.0548546095105</v>
      </c>
      <c r="F258" s="15">
        <v>39.1923498731732</v>
      </c>
    </row>
    <row r="259" spans="1:6">
      <c r="A259" s="7" t="s">
        <v>45</v>
      </c>
      <c r="B259" s="15">
        <v>33.4330949203651</v>
      </c>
      <c r="C259" s="15">
        <v>35.2210128302614</v>
      </c>
      <c r="D259" s="15">
        <v>39.4256781127877</v>
      </c>
      <c r="E259" s="15">
        <v>42.5222105741458</v>
      </c>
      <c r="F259" s="15">
        <v>43.4065109887494</v>
      </c>
    </row>
    <row r="260" spans="1:6">
      <c r="A260" s="7" t="s">
        <v>46</v>
      </c>
      <c r="B260" s="15">
        <v>28.9645177157879</v>
      </c>
      <c r="C260" s="15">
        <v>30.5691524589055</v>
      </c>
      <c r="D260" s="15">
        <v>34.715590635295</v>
      </c>
      <c r="E260" s="15">
        <v>38.1264241102029</v>
      </c>
      <c r="F260" s="15">
        <v>39.94970986285</v>
      </c>
    </row>
    <row r="261" spans="1:6">
      <c r="A261" s="7" t="s">
        <v>47</v>
      </c>
      <c r="B261" s="15">
        <v>29.5776894720922</v>
      </c>
      <c r="C261" s="15">
        <v>31.7209064680423</v>
      </c>
      <c r="D261" s="15">
        <v>36.233047739424</v>
      </c>
      <c r="E261" s="15">
        <v>40.8450790644756</v>
      </c>
      <c r="F261" s="15">
        <v>42.7122320371273</v>
      </c>
    </row>
    <row r="262" spans="1:6">
      <c r="A262" s="7" t="s">
        <v>48</v>
      </c>
      <c r="B262" s="15">
        <v>28.5687180641236</v>
      </c>
      <c r="C262" s="15">
        <v>30.0034654465818</v>
      </c>
      <c r="D262" s="15">
        <v>34.8574346029702</v>
      </c>
      <c r="E262" s="15">
        <v>38.9098302042249</v>
      </c>
      <c r="F262" s="15">
        <v>40.5561777088292</v>
      </c>
    </row>
    <row r="263" spans="1:6">
      <c r="A263" s="7" t="s">
        <v>49</v>
      </c>
      <c r="B263" s="15">
        <v>34.8694180906146</v>
      </c>
      <c r="C263" s="15">
        <v>36.2754290072381</v>
      </c>
      <c r="D263" s="15">
        <v>39.2405686233264</v>
      </c>
      <c r="E263" s="15">
        <v>41.3791757653461</v>
      </c>
      <c r="F263" s="15">
        <v>42.2828042992436</v>
      </c>
    </row>
    <row r="264" spans="1:6">
      <c r="A264" s="13" t="s">
        <v>52</v>
      </c>
      <c r="B264" s="10">
        <f t="shared" ref="B264:F264" si="5">SUM(B223:B263)/41</f>
        <v>30.5667365058232</v>
      </c>
      <c r="C264" s="10">
        <f t="shared" si="5"/>
        <v>32.1095918755742</v>
      </c>
      <c r="D264" s="10">
        <f t="shared" si="5"/>
        <v>35.8808659126215</v>
      </c>
      <c r="E264" s="10">
        <f t="shared" si="5"/>
        <v>39.6636048492784</v>
      </c>
      <c r="F264" s="10">
        <f t="shared" si="5"/>
        <v>41.2628276426768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12248</dc:creator>
  <cp:lastModifiedBy>꧁༺phantom༻꧂</cp:lastModifiedBy>
  <dcterms:created xsi:type="dcterms:W3CDTF">2025-12-07T21:01:00Z</dcterms:created>
  <dcterms:modified xsi:type="dcterms:W3CDTF">2025-12-09T20:54:33Z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B07441A5473049638ACE0D066C091E20_11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